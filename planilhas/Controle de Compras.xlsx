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R:\"/>
    </mc:Choice>
  </mc:AlternateContent>
  <xr:revisionPtr revIDLastSave="0" documentId="13_ncr:1_{3370A97F-0E92-4F6F-83F4-AB186412899D}" xr6:coauthVersionLast="47" xr6:coauthVersionMax="47" xr10:uidLastSave="{00000000-0000-0000-0000-000000000000}"/>
  <bookViews>
    <workbookView xWindow="-120" yWindow="-120" windowWidth="21840" windowHeight="13020" tabRatio="500" activeTab="3" xr2:uid="{00000000-000D-0000-FFFF-FFFF00000000}"/>
  </bookViews>
  <sheets>
    <sheet name="Instruções" sheetId="1" r:id="rId1"/>
    <sheet name="Visão Geral" sheetId="2" r:id="rId2"/>
    <sheet name="Materiais Diversos" sheetId="3" r:id="rId3"/>
    <sheet name="Ferramenta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7" i="4" l="1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0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3" i="4"/>
  <c r="N14" i="4"/>
  <c r="N7" i="4"/>
  <c r="N6" i="4"/>
  <c r="N5" i="4"/>
  <c r="N4" i="4"/>
  <c r="N3" i="4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C15" i="2" s="1"/>
  <c r="O9" i="3"/>
  <c r="O8" i="3"/>
  <c r="O7" i="3"/>
  <c r="O6" i="3"/>
  <c r="E51" i="2"/>
  <c r="D51" i="2"/>
  <c r="F51" i="2" s="1"/>
  <c r="E50" i="2"/>
  <c r="D50" i="2"/>
  <c r="F50" i="2" s="1"/>
  <c r="E49" i="2"/>
  <c r="D49" i="2"/>
  <c r="F49" i="2" s="1"/>
  <c r="E48" i="2"/>
  <c r="D48" i="2"/>
  <c r="F48" i="2" s="1"/>
  <c r="E47" i="2"/>
  <c r="D47" i="2"/>
  <c r="F47" i="2" s="1"/>
  <c r="E46" i="2"/>
  <c r="D46" i="2"/>
  <c r="F46" i="2" s="1"/>
  <c r="E45" i="2"/>
  <c r="D45" i="2"/>
  <c r="F45" i="2" s="1"/>
  <c r="E44" i="2"/>
  <c r="D44" i="2"/>
  <c r="F44" i="2" s="1"/>
  <c r="E43" i="2"/>
  <c r="D43" i="2"/>
  <c r="F43" i="2" s="1"/>
  <c r="B43" i="2"/>
  <c r="E42" i="2"/>
  <c r="D42" i="2"/>
  <c r="F42" i="2" s="1"/>
  <c r="B42" i="2"/>
  <c r="E41" i="2"/>
  <c r="D41" i="2"/>
  <c r="F41" i="2" s="1"/>
  <c r="B41" i="2"/>
  <c r="E40" i="2"/>
  <c r="D40" i="2"/>
  <c r="F40" i="2" s="1"/>
  <c r="B40" i="2"/>
  <c r="E36" i="2"/>
  <c r="B36" i="2"/>
  <c r="E35" i="2"/>
  <c r="B35" i="2"/>
  <c r="E34" i="2"/>
  <c r="B34" i="2"/>
  <c r="E33" i="2"/>
  <c r="B33" i="2"/>
  <c r="E32" i="2"/>
  <c r="B32" i="2"/>
  <c r="E31" i="2"/>
  <c r="B31" i="2"/>
  <c r="M5" i="2"/>
  <c r="J5" i="2"/>
  <c r="G5" i="2"/>
  <c r="D5" i="2"/>
  <c r="A5" i="2"/>
  <c r="B22" i="2" l="1"/>
  <c r="A23" i="2"/>
  <c r="D11" i="2"/>
  <c r="B12" i="2"/>
  <c r="D15" i="2"/>
  <c r="C18" i="2"/>
  <c r="A19" i="2"/>
  <c r="D21" i="2"/>
  <c r="D19" i="2"/>
  <c r="A13" i="2"/>
  <c r="B16" i="2"/>
  <c r="B20" i="2"/>
  <c r="D23" i="2"/>
  <c r="A10" i="2"/>
  <c r="C13" i="2"/>
  <c r="A17" i="2"/>
  <c r="C20" i="2"/>
  <c r="A24" i="2"/>
  <c r="B10" i="2"/>
  <c r="D13" i="2"/>
  <c r="D17" i="2"/>
  <c r="A21" i="2"/>
  <c r="B24" i="2"/>
  <c r="B23" i="2"/>
  <c r="C12" i="2"/>
  <c r="A16" i="2"/>
  <c r="C23" i="2"/>
  <c r="C10" i="2"/>
  <c r="B14" i="2"/>
  <c r="A18" i="2"/>
  <c r="C21" i="2"/>
  <c r="A11" i="2"/>
  <c r="A15" i="2"/>
  <c r="B18" i="2"/>
  <c r="C11" i="2"/>
  <c r="A14" i="2"/>
  <c r="C16" i="2"/>
  <c r="C19" i="2"/>
  <c r="A22" i="2"/>
  <c r="C24" i="2"/>
  <c r="A12" i="2"/>
  <c r="C14" i="2"/>
  <c r="C17" i="2"/>
  <c r="A20" i="2"/>
  <c r="C22" i="2"/>
  <c r="D10" i="2"/>
  <c r="D12" i="2"/>
  <c r="D14" i="2"/>
  <c r="D16" i="2"/>
  <c r="D18" i="2"/>
  <c r="D20" i="2"/>
  <c r="D22" i="2"/>
  <c r="D24" i="2"/>
  <c r="B11" i="2"/>
  <c r="B13" i="2"/>
  <c r="B15" i="2"/>
  <c r="B17" i="2"/>
  <c r="B19" i="2"/>
  <c r="B21" i="2"/>
  <c r="F23" i="2"/>
  <c r="F13" i="2"/>
  <c r="F22" i="2"/>
  <c r="F17" i="2"/>
  <c r="H23" i="2"/>
  <c r="F19" i="2"/>
  <c r="F14" i="2"/>
  <c r="F21" i="2"/>
  <c r="F18" i="2"/>
  <c r="F15" i="2"/>
  <c r="F11" i="2"/>
  <c r="F12" i="2"/>
  <c r="F20" i="2"/>
  <c r="F16" i="2"/>
  <c r="F24" i="2"/>
  <c r="F10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G10" i="2"/>
  <c r="G12" i="2"/>
  <c r="G14" i="2"/>
  <c r="G16" i="2"/>
  <c r="G18" i="2"/>
  <c r="G20" i="2"/>
  <c r="G22" i="2"/>
  <c r="G24" i="2"/>
  <c r="H12" i="2"/>
  <c r="H16" i="2"/>
  <c r="H24" i="2"/>
  <c r="G11" i="2"/>
  <c r="G13" i="2"/>
  <c r="G15" i="2"/>
  <c r="G17" i="2"/>
  <c r="G19" i="2"/>
  <c r="G21" i="2"/>
  <c r="G23" i="2"/>
  <c r="H10" i="2"/>
  <c r="H11" i="2"/>
  <c r="H13" i="2"/>
  <c r="H14" i="2"/>
  <c r="H15" i="2"/>
  <c r="H17" i="2"/>
  <c r="H18" i="2"/>
  <c r="H19" i="2"/>
  <c r="H20" i="2"/>
  <c r="H21" i="2"/>
  <c r="H22" i="2"/>
</calcChain>
</file>

<file path=xl/sharedStrings.xml><?xml version="1.0" encoding="utf-8"?>
<sst xmlns="http://schemas.openxmlformats.org/spreadsheetml/2006/main" count="267" uniqueCount="186">
  <si>
    <t>COMO USAR ESTA PLANILHA
Controle de Compras — Materiais, Equipamentos e Ferramentas | Estoque BRITO</t>
  </si>
  <si>
    <t>1. O que tem em cada aba</t>
  </si>
  <si>
    <t>• Instruções — esta página, com o passo a passo de uso do arquivo.
• Visão Geral — dashboard com indicadores, o painel de itens em manutenção e os gráficos. Atualiza sozinha, não precisa editar nada nela.
• Materiais Diversos — cadastro de todos os equipamentos e materiais diversos (menos ferramentas), um item por linha.
• Ferramentas — cadastro exclusivo das ferramentas (itens portáteis usados nas obras), no mesmo formato da aba de Materiais.</t>
  </si>
  <si>
    <t>2. Como cadastrar um novo item</t>
  </si>
  <si>
    <t>1) Abra a aba 'Materiais Diversos' (equipamentos/materiais em geral) ou 'Ferramentas', conforme o tipo do item.
2) Vá até a primeira linha em branco logo abaixo do cabeçalho azul e comece a preencher da esquerda para a direita.
3) Nas colunas Categoria, Nome da Obra, Obra Atual, Estoque BRITO? e Status, clique na célula e use a setinha da lista suspensa — não digite manualmente, para evitar erro de digitação.
4) Preencha sempre 'Data da Compra' e 'Valor do Equipamento (R$)': são esses dois campos que alimentam os totais e gráficos da aba Visão Geral.
5) Preencha 'Data de Saída para Obra' sempre que enviar o item do Estoque BRITO para uma obra — é essa data que aparece no painel de manutenção quando o item precisar ser consertado.
6) O Nº de Patrimônio deve ser único: use o prefixo EQP- na aba de Materiais e FER- na aba de Ferramentas, seguidos de um número sequencial (ex.: EQP-0001, FER-0001).</t>
  </si>
  <si>
    <t>3. Entendendo 'Obra Atual', 'Data de Saída' e 'Estoque BRITO'</t>
  </si>
  <si>
    <t>• Nome da Obra = a obra para a qual o item foi originalmente comprado.
• Obra Atual = onde o item está fisicamente HOJE — pode ser essa mesma obra, outra obra (se foi transferido) ou 'Estoque BRITO'.
• Data de Saída para Obra = quando o item saiu do Estoque BRITO rumo à 'Obra Atual'. Deixe em branco enquanto o item estiver parado no depósito.
• Estoque BRITO? = 'Sim' quando o item está no depósito central (não alocado em nenhuma obra no momento) e 'Não' quando está em uso em uma obra.
• Sempre que um item for transferido entre obras ou devolvido ao depósito, atualize essas colunas — é isso que mantém o dashboard confiável.</t>
  </si>
  <si>
    <t>4. Painel de manutenção (o que você vê ao abrir o arquivo)</t>
  </si>
  <si>
    <t>• Ao abrir a planilha, vá até a aba 'Visão Geral': logo no topo, abaixo dos indicadores, fica o painel 'Itens em Manutenção Agora'.
• Ele lista automaticamente todo item com Status = 'Manutenção', separado por Materiais Diversos e Ferramentas, mostrando patrimônio, descrição, obra atual e a data em que o item saiu para a obra.
• Para tirar um item desse painel, basta trocar o Status dele (na aba de origem) para 'Em uso', 'Em estoque' ou 'Baixado' — ele some da lista sozinho.</t>
  </si>
  <si>
    <t>5. Como funciona o restante do dashboard</t>
  </si>
  <si>
    <t>• Os cartões no topo (valor total investido, itens cadastrados, itens em Estoque BRITO, itens em obras e itens em manutenção) e todos os gráficos são calculados por fórmula.
• Assim que você lança um item novo em 'Materiais Diversos' ou 'Ferramentas', o dashboard inteiro atualiza sozinho — não é preciso copiar nada manualmente.
• O gráfico 'Compras nos últimos 12 meses' sempre mostra os 12 meses mais recentes a partir da data de hoje, ajustando-se sozinho com o tempo.
• As tabelas de apoio dos gráficos ficam mais abaixo na mesma aba — também não precisam ser editadas.</t>
  </si>
  <si>
    <t>6. Boas práticas para manter a planilha organizada</t>
  </si>
  <si>
    <t>• Um item por linha — nunca agrupe equipamentos diferentes na mesma linha.
• Nunca reutilize um número de patrimônio já existente, mesmo que o item tenha sido baixado.
• Prefira sempre selecionar valores da lista suspensa a digitar texto livre nas colunas de Categoria, Obra, Estoque BRITO? e Status.
• Ao dar baixa em um item (perda, quebra irreparável, venda), mantenha a linha na planilha e apenas mude o Status para 'Baixado' — isso preserva o histórico de compras.
• Revise mensalmente as colunas 'Obra Atual' e 'Status' com os encarregados de cada obra para manter o controle de patrimônio fiel à realidade.</t>
  </si>
  <si>
    <t>DASHBOARD — SETOR DE COMPRAS | ESTOQUE BRITO</t>
  </si>
  <si>
    <t>Visão geral automática dos Materiais Diversos e Ferramentas cadastrados nas abas ao lado</t>
  </si>
  <si>
    <t>VALOR TOTAL INVESTIDO</t>
  </si>
  <si>
    <t>ITENS CADASTRADOS</t>
  </si>
  <si>
    <t>ITENS EM ESTOQUE BRITO</t>
  </si>
  <si>
    <t>ITENS ALOCADOS EM OBRAS</t>
  </si>
  <si>
    <t>ITENS EM MANUTENÇÃO</t>
  </si>
  <si>
    <t>🔧  ITENS EM MANUTENÇÃO AGORA</t>
  </si>
  <si>
    <t>Materiais Diversos</t>
  </si>
  <si>
    <t>Ferramentas</t>
  </si>
  <si>
    <t>Nº Patrimônio</t>
  </si>
  <si>
    <t>Descrição</t>
  </si>
  <si>
    <t>Obra Atual</t>
  </si>
  <si>
    <t>Data de Saída</t>
  </si>
  <si>
    <t>Mostra até 15 itens por aba, na ordem de cadastro. Some da lista automaticamente quando o Status deixar de ser 'Manutenção'.</t>
  </si>
  <si>
    <t>Tabelas de apoio aos gráficos (calculadas por fórmula — não editar manualmente)</t>
  </si>
  <si>
    <t>Localização</t>
  </si>
  <si>
    <t>Valor Total (R$)</t>
  </si>
  <si>
    <t>Categoria (Materiais)</t>
  </si>
  <si>
    <t>Quantidade</t>
  </si>
  <si>
    <t>Elétrica</t>
  </si>
  <si>
    <t>Hidráulica</t>
  </si>
  <si>
    <t>Alvenaria/Estrutura</t>
  </si>
  <si>
    <t>Segurança (EPI)</t>
  </si>
  <si>
    <t>Movimentação de Carga</t>
  </si>
  <si>
    <t>Pintura/Acabamento</t>
  </si>
  <si>
    <t>Status</t>
  </si>
  <si>
    <t>AnoMes</t>
  </si>
  <si>
    <t>Mês/Ano</t>
  </si>
  <si>
    <t>Valor de Compras (R$)</t>
  </si>
  <si>
    <t>Em uso</t>
  </si>
  <si>
    <t>Em estoque</t>
  </si>
  <si>
    <t>Manutenção</t>
  </si>
  <si>
    <t>Baixado</t>
  </si>
  <si>
    <t>Gráficos</t>
  </si>
  <si>
    <t>Observações — Visão Geral</t>
  </si>
  <si>
    <t>Sobre este dashboard:
- Todos os cartões (KPIs), o painel de manutenção, as tabelas de apoio e os gráficos acima são calculados por fórmula a partir das abas 'Materiais Diversos' e 'Ferramentas' — não é necessário atualizar nada manualmente aqui.
- Ao lançar um novo item ou mudar o Status em qualquer uma das duas abas, os valores e gráficos desta página são recalculados automaticamente.
- O painel 'Itens em Manutenção Agora', logo abaixo dos indicadores, mostra tudo que está com Status = 'Manutenção' no momento, junto com a data em que cada item saiu para a obra.
- 'Itens em Estoque BRITO' mostra quantos equipamentos/ferramentas estão hoje disponíveis no depósito central, prontos para serem enviados a uma nova obra.
- O gráfico de linha mostra sempre os últimos 12 meses a partir de hoje — ele se atualiza sozinho conforme o tempo passa.
- Esta planilha está pronta para uso: não há dados de exemplo. Basta cadastrar os itens reais nas abas 'Materiais Diversos' e 'Ferramentas'.</t>
  </si>
  <si>
    <t>MATERIAIS DIVERSOS / EQUIPAMENTOS — ESTOQUE BRITO</t>
  </si>
  <si>
    <t>Descrição do Item</t>
  </si>
  <si>
    <t>Nº do Pedido</t>
  </si>
  <si>
    <t>Data da Compra</t>
  </si>
  <si>
    <t>Nome da Obra (destino da compra)</t>
  </si>
  <si>
    <t>Obra Atual (localização)</t>
  </si>
  <si>
    <t>Data de Saída para Obra</t>
  </si>
  <si>
    <t>Estoque BRITO?</t>
  </si>
  <si>
    <t>Valor do Equipamento (R$)</t>
  </si>
  <si>
    <t>Nº da Nota Fiscal</t>
  </si>
  <si>
    <t>Fornecedor</t>
  </si>
  <si>
    <t>Observações — Materiais Diversos</t>
  </si>
  <si>
    <t>Como preencher esta planilha:
- Nº Patrimônio: código único de identificação do equipamento (etiqueta patrimonial). Use o prefixo EQP- seguido do número sequencial (ex.: EQP-0001, EQP-0002...). Nunca repita um número já usado.
- Nome da Obra: obra para a qual o item foi originalmente comprado/alocado.
- Obra Atual: onde o item está fisicamente HOJE. Pode ser uma das obras cadastradas ou 'Estoque BRITO' (nosso depósito central), quando o item não está em uso em nenhuma obra.
- Data de Saída para Obra: data em que o item foi despachado do Estoque BRITO para a 'Obra Atual' informada. Deixe em branco enquanto o item ainda estiver no Estoque BRITO.
- Estoque BRITO?: marque 'Sim' sempre que 'Obra Atual' = Estoque BRITO (item disponível para realocação); marque 'Não' quando o item estiver em uma obra.
- Status: Em uso / Em estoque / Manutenção / Baixado (equipamento fora de uso definitivo). Ao marcar 'Manutenção', o item aparece automaticamente no painel de manutenção da aba 'Visão Geral'.
- As colunas de Categoria, Obra, Estoque BRITO? e Status têm lista suspensa (clique na célula e use a setinha) para evitar erro de digitação e manter o dashboard confiável.
- Exemplo de formato de uma linha preenchida: EQP-0001 | Gerador de Energia 5kVA | Elétrica | PED-2026-0001 | 05/01/2026 | Obra Alphaville | Obra Alphaville | 06/01/2026 | Não | R$ 18.500,00 | NF-000123 | Elétrica Sul Ltda | Em uso
- Preencha sempre Data da Compra e Valor do Equipamento: são eles que alimentam os totais e gráficos da aba 'Visão Geral'.</t>
  </si>
  <si>
    <t>FERRAMENTAS — ESTOQUE BRITO</t>
  </si>
  <si>
    <t>Observações — Ferramentas</t>
  </si>
  <si>
    <t>Como preencher esta planilha:
- Esta aba é exclusiva para FERRAMENTAS (itens portáteis de uso nas obras), separadas dos demais materiais/equipamentos.
- Nº Patrimônio: use sempre o prefixo FER- seguido do número sequencial (ex.: FER-0001, FER-0002...).
- Obra Atual, Data de Saída para Obra e Estoque BRITO? seguem a mesma lógica da aba 'Materiais Diversos': se a ferramenta não está em nenhuma obra, ela deve estar em 'Estoque BRITO', com a flag 'Sim' e sem data de saída preenchida.
- Ferramentas quebradas ou fora de uso devem ser marcadas como Status = 'Baixado', mantendo o histórico de compra para controle de patrimônio.
- Ao marcar Status = 'Manutenção', a ferramenta aparece automaticamente no painel de manutenção da aba 'Visão Geral', junto com a data em que saiu para a obra.
- Sempre que uma ferramenta for emprestada/transferida entre obras, atualize as colunas 'Obra Atual' e 'Data de Saída para Obra' para manter o rastreio real do equipamento.
- Exemplo de formato de uma linha preenchida: FER-0001 | Furadeira de Impacto | Furação | PED-2026-0002 | 10/01/2026 | Obra Alphaville | Obra Alphaville | 11/01/2026 | Não | R$ 480,00 | NF-000124 | Ferramentas Tork Distribuidora | Em uso
- Os totais desta aba somam-se automaticamente aos da aba 'Materiais Diversos' no dashboard da aba 'Visão Geral'.</t>
  </si>
  <si>
    <t>JVM Casa Alba</t>
  </si>
  <si>
    <t>Obra P.Raposo</t>
  </si>
  <si>
    <t>Dialogo Alvaro Ramos</t>
  </si>
  <si>
    <t>BROCA SDS PLUS "10"</t>
  </si>
  <si>
    <t>BROCA SDS PLUS "14"</t>
  </si>
  <si>
    <t>BROCA SDS PLUS "6"</t>
  </si>
  <si>
    <t>BROCA SDS PLUS "8"</t>
  </si>
  <si>
    <t>CARRINHO DE MÃO</t>
  </si>
  <si>
    <t>COLHER PEDREIRO</t>
  </si>
  <si>
    <t>DESEMPENADEIRA</t>
  </si>
  <si>
    <t>DISCO MAQUITA</t>
  </si>
  <si>
    <t>FORMÃO 1.1/4</t>
  </si>
  <si>
    <t>LIXADEIRA OSCILANTE (VONDER)</t>
  </si>
  <si>
    <t>MARRETA 1 KG</t>
  </si>
  <si>
    <t>MARRETA 2 KG</t>
  </si>
  <si>
    <t>NIVEL ALMA 30cm</t>
  </si>
  <si>
    <t>PRENSA TERMINAL</t>
  </si>
  <si>
    <t>SERRA COPO DE AÇO 1.1/4 32mm</t>
  </si>
  <si>
    <t xml:space="preserve">SERRA COPO P/ CONCRETO 100mm 3/4 </t>
  </si>
  <si>
    <t>SERRA OSCILANTE VONDER</t>
  </si>
  <si>
    <t>SERRA TICO TICO BOSCH</t>
  </si>
  <si>
    <t>TALHADEIRA SDS MAX 400MM "25"</t>
  </si>
  <si>
    <t>TALHADEIRA SDS PLUS</t>
  </si>
  <si>
    <t>MARTELETE</t>
  </si>
  <si>
    <t>ALIC ALARG TUBO DE COBRE 3/8, ½, 5/8, ¾, 7/8, 1.1/8</t>
  </si>
  <si>
    <t>ALIC PEX AGUA/GAS 16-20-25-32MM (gás)</t>
  </si>
  <si>
    <t>ALIC PRENSA TUBOS 16/20/26/32MM (prensa pex)</t>
  </si>
  <si>
    <t xml:space="preserve">ARCO SERRA "12" </t>
  </si>
  <si>
    <t>CADEADO DE 30mm</t>
  </si>
  <si>
    <t>CADEADO DE 50mm</t>
  </si>
  <si>
    <t>CHAVE GRIFO</t>
  </si>
  <si>
    <t>CHAVE TORK</t>
  </si>
  <si>
    <t>DISCO DE CORTE AÇO 4.1/2</t>
  </si>
  <si>
    <t>ESCADAS FIBRA</t>
  </si>
  <si>
    <t>ESCADAS DE MADEIRA ABRE/FECHA</t>
  </si>
  <si>
    <t>ESMERILHADEIRA ANGULAR 710W BOSCH</t>
  </si>
  <si>
    <t>EXTENÇÃO 20 METROS CABO PP</t>
  </si>
  <si>
    <t>JOGO DE CHAVE COMBINADA</t>
  </si>
  <si>
    <t>LASER BOSCH</t>
  </si>
  <si>
    <t>LASER TRESNNA</t>
  </si>
  <si>
    <t>MANDRIL BOSCH SDS</t>
  </si>
  <si>
    <t>MAQUINA POLICORTE</t>
  </si>
  <si>
    <t>MASSARICO</t>
  </si>
  <si>
    <t>MEGOMETRO</t>
  </si>
  <si>
    <t>MORSA PARA BANCADA 4 pol</t>
  </si>
  <si>
    <t>PARAFUSADEIRA/CHAVE IMPAC WAP</t>
  </si>
  <si>
    <t xml:space="preserve">PARAFUSADEIRA A BATERIA </t>
  </si>
  <si>
    <t>PARAFUSADEIRA BOSCH</t>
  </si>
  <si>
    <t>PERFURATRIZ</t>
  </si>
  <si>
    <t>PONTEIRO DE 1KG</t>
  </si>
  <si>
    <t>PONTEIROS SDS MAX 400MM "25"</t>
  </si>
  <si>
    <t xml:space="preserve">PONTEIROS SDS PLUS </t>
  </si>
  <si>
    <t xml:space="preserve">RELE FOTO CELULA </t>
  </si>
  <si>
    <t>RELE FOTO ELETRONICO</t>
  </si>
  <si>
    <t>REGUA ALUM 2,5 MT</t>
  </si>
  <si>
    <t>TALHADEIRAS AÇO NORMAL DE 25"</t>
  </si>
  <si>
    <t>TESSOURA</t>
  </si>
  <si>
    <t>SERRA MARMORE (MAQUITA)</t>
  </si>
  <si>
    <t>NIVEL LASLER LINHAS 15M + TRIPE BOSCH</t>
  </si>
  <si>
    <t>SERRA STARRET 300mm</t>
  </si>
  <si>
    <t xml:space="preserve">SUPORTE VERTICAL LASER </t>
  </si>
  <si>
    <t>Quntidade</t>
  </si>
  <si>
    <t xml:space="preserve">Saldo </t>
  </si>
  <si>
    <t xml:space="preserve">ÁLVARO RAMOS </t>
  </si>
  <si>
    <t>BROCA CHATA 1.1/4</t>
  </si>
  <si>
    <t>BROCA NORNAL 20" CONCRETO</t>
  </si>
  <si>
    <t>BROCA SDS PLUS "12"</t>
  </si>
  <si>
    <t>BROCA SDS PLUS "20"</t>
  </si>
  <si>
    <t>BROCA SDS PLUS "5"</t>
  </si>
  <si>
    <t>BROCA AÇO RAPIDO DE 1/4</t>
  </si>
  <si>
    <t>BROCA AÇO RAPIDO DE 3/8</t>
  </si>
  <si>
    <t>FITA ISOLANTE PRETA</t>
  </si>
  <si>
    <t>FITA ISOLANTE BRANCO</t>
  </si>
  <si>
    <t>FITA ISOLANTE AZUL</t>
  </si>
  <si>
    <t>FITA ISOLANTE VERMELHO</t>
  </si>
  <si>
    <t>FITA ISOLANTE VERDE</t>
  </si>
  <si>
    <t>FITA AUTO FUSAO</t>
  </si>
  <si>
    <t>LAPIS CARPINTEIRO</t>
  </si>
  <si>
    <t>PASSA FIO 10M</t>
  </si>
  <si>
    <t>PASSA FIO 15M</t>
  </si>
  <si>
    <t>PASSA FIO 20M</t>
  </si>
  <si>
    <t xml:space="preserve">SERRA COPO - CHAPA </t>
  </si>
  <si>
    <t>SERRA COPO DE AÇO 1.5/8 41mm</t>
  </si>
  <si>
    <t>SERRA COPO DE AÇO 1.13 46mm</t>
  </si>
  <si>
    <t>SERRA COPO DE AÇO 2.1 57mm</t>
  </si>
  <si>
    <t>TINTA SPRAY BRANCO</t>
  </si>
  <si>
    <t>VASELINA POTE DE 900G</t>
  </si>
  <si>
    <t>SERRA COPO P/ CONCRETO 126mm  1"</t>
  </si>
  <si>
    <t>SERROTE P/ DRYWAL</t>
  </si>
  <si>
    <t>SERRA PODA</t>
  </si>
  <si>
    <t>SERRA COPO  BLOCO 4/2</t>
  </si>
  <si>
    <t xml:space="preserve">ESCRITÓRIO MATERIAL USO DIARIO </t>
  </si>
  <si>
    <t>PIZZIMENTI</t>
  </si>
  <si>
    <t>FURADEIRA IMPA SDS BOSH</t>
  </si>
  <si>
    <t>FURADEIRA DE MANDRIL HP 1640 MAKITA</t>
  </si>
  <si>
    <t xml:space="preserve">Estoque </t>
  </si>
  <si>
    <t>MANUTENÇÃO OÇA</t>
  </si>
  <si>
    <t>PADRE RAPOSO</t>
  </si>
  <si>
    <t>BRITO NOVA</t>
  </si>
  <si>
    <t>BRITO</t>
  </si>
  <si>
    <t>MAQUINA SERRA CORTE MSC 2600 BANCADA POLICORTE</t>
  </si>
  <si>
    <t xml:space="preserve">ALVARO RAMOS </t>
  </si>
  <si>
    <t>SERRA DE CORTE 4100 NH3 MAKITA</t>
  </si>
  <si>
    <t>PARAFUSADEIRA A BATERIA BOSCH</t>
  </si>
  <si>
    <t>PERFURATRIZ PLASTICON AZUL</t>
  </si>
  <si>
    <t>PERFURATRIZ PLASTICON VERMELHA</t>
  </si>
  <si>
    <t>PLASTICON</t>
  </si>
  <si>
    <t xml:space="preserve">PERFURATRIZ PLASTICON </t>
  </si>
  <si>
    <t>PRENSA TERMINAL CABO</t>
  </si>
  <si>
    <t>PAQUIMETRO BOM VILK-1245</t>
  </si>
  <si>
    <t xml:space="preserve">CAIXA TERMO FUSORA  TOPFUSION </t>
  </si>
  <si>
    <t xml:space="preserve">BRITO </t>
  </si>
  <si>
    <t xml:space="preserve">PRESSORIZADOR </t>
  </si>
  <si>
    <t>TORQUIMETRO</t>
  </si>
  <si>
    <t xml:space="preserve">P  RAPOSO </t>
  </si>
  <si>
    <t>263/2026</t>
  </si>
  <si>
    <t>BRITO  USADA</t>
  </si>
  <si>
    <t xml:space="preserve">ESC.DIALAGO </t>
  </si>
  <si>
    <t>QUANTIDADE COMPRAD</t>
  </si>
  <si>
    <t>SAIDA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</si>
</sst>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&quot;R$ &quot;#,##0.00"/>
    <numFmt numFmtId="165" formatCode="00"/>
    <numFmt numFmtId="166" formatCode="&quot;R$&quot;\ #,##0.00"/>
  </numFmts>
  <fonts count="30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b/>
      <sz val="12"/>
      <color rgb="FFFFFFFF"/>
      <name val="Arial"/>
      <family val="2"/>
    </font>
    <font>
      <sz val="10.5"/>
      <color rgb="FF262626"/>
      <name val="Arial"/>
      <family val="2"/>
    </font>
    <font>
      <i/>
      <sz val="10"/>
      <color rgb="FFD9E6F5"/>
      <name val="Arial"/>
      <family val="2"/>
    </font>
    <font>
      <b/>
      <sz val="9"/>
      <color rgb="FFFFFFFF"/>
      <name val="Arial"/>
      <family val="2"/>
    </font>
    <font>
      <b/>
      <sz val="10"/>
      <color rgb="FF1F4E78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i/>
      <sz val="8.5"/>
      <color rgb="FF808080"/>
      <name val="Arial"/>
      <family val="2"/>
    </font>
    <font>
      <b/>
      <sz val="11"/>
      <color rgb="FFFFFFFF"/>
      <name val="Arial"/>
      <family val="2"/>
    </font>
    <font>
      <i/>
      <sz val="9"/>
      <color rgb="FF404040"/>
      <name val="Arial"/>
      <family val="2"/>
    </font>
    <font>
      <b/>
      <sz val="16"/>
      <color rgb="FFFFFFFF"/>
      <name val="Arial"/>
      <family val="2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 Narrow"/>
      <family val="2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9"/>
      <color theme="0"/>
      <name val="Calibri"/>
      <family val="2"/>
      <scheme val="minor"/>
    </font>
    <font>
      <sz val="9"/>
      <color theme="0"/>
      <name val="Arial Narrow"/>
      <family val="2"/>
    </font>
    <font>
      <sz val="9"/>
      <color theme="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A7EBB"/>
      </patternFill>
    </fill>
    <fill>
      <patternFill patternType="solid">
        <fgColor rgb="FFFFFFFF"/>
        <bgColor rgb="FFF9F9F9"/>
      </patternFill>
    </fill>
    <fill>
      <patternFill patternType="solid">
        <fgColor rgb="FF548235"/>
        <bgColor rgb="FF808080"/>
      </patternFill>
    </fill>
    <fill>
      <patternFill patternType="solid">
        <fgColor rgb="FFBF8F00"/>
        <bgColor rgb="FFFF6600"/>
      </patternFill>
    </fill>
    <fill>
      <patternFill patternType="solid">
        <fgColor rgb="FF833C0C"/>
        <bgColor rgb="FF993366"/>
      </patternFill>
    </fill>
    <fill>
      <patternFill patternType="solid">
        <fgColor rgb="FFC00000"/>
        <bgColor rgb="FF800000"/>
      </patternFill>
    </fill>
    <fill>
      <patternFill patternType="solid">
        <fgColor rgb="FFFCE4E4"/>
        <bgColor rgb="FFFCEDED"/>
      </patternFill>
    </fill>
    <fill>
      <patternFill patternType="solid">
        <fgColor rgb="FFFCEDED"/>
        <bgColor rgb="FFF2F2F2"/>
      </patternFill>
    </fill>
    <fill>
      <patternFill patternType="solid">
        <fgColor rgb="FFF2F7FC"/>
        <bgColor rgb="FFF9F9F9"/>
      </patternFill>
    </fill>
    <fill>
      <patternFill patternType="solid">
        <fgColor rgb="FFF2F2F2"/>
        <bgColor rgb="FFF2F7F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3" fillId="0" borderId="0" applyFont="0" applyFill="0" applyBorder="0" applyAlignment="0" applyProtection="0"/>
  </cellStyleXfs>
  <cellXfs count="81">
    <xf numFmtId="0" fontId="0" fillId="0" borderId="0" xfId="0"/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14" fontId="8" fillId="10" borderId="1" xfId="0" applyNumberFormat="1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left" vertical="center" wrapText="1"/>
    </xf>
    <xf numFmtId="164" fontId="8" fillId="11" borderId="1" xfId="0" applyNumberFormat="1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5" fillId="13" borderId="2" xfId="0" applyFont="1" applyFill="1" applyBorder="1" applyAlignment="1">
      <alignment horizontal="left"/>
    </xf>
    <xf numFmtId="0" fontId="15" fillId="13" borderId="4" xfId="0" applyFont="1" applyFill="1" applyBorder="1"/>
    <xf numFmtId="0" fontId="16" fillId="0" borderId="4" xfId="0" applyFont="1" applyBorder="1"/>
    <xf numFmtId="0" fontId="0" fillId="0" borderId="2" xfId="0" applyBorder="1" applyAlignment="1">
      <alignment horizontal="left"/>
    </xf>
    <xf numFmtId="0" fontId="16" fillId="0" borderId="2" xfId="0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0" fontId="17" fillId="0" borderId="4" xfId="0" applyFont="1" applyBorder="1"/>
    <xf numFmtId="0" fontId="18" fillId="0" borderId="4" xfId="0" applyFont="1" applyBorder="1"/>
    <xf numFmtId="0" fontId="14" fillId="0" borderId="2" xfId="0" applyFont="1" applyBorder="1" applyAlignment="1">
      <alignment horizontal="left"/>
    </xf>
    <xf numFmtId="0" fontId="19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 vertical="center" wrapText="1"/>
    </xf>
    <xf numFmtId="0" fontId="21" fillId="14" borderId="0" xfId="0" applyFont="1" applyFill="1" applyAlignment="1">
      <alignment horizontal="center"/>
    </xf>
    <xf numFmtId="0" fontId="22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20" fillId="15" borderId="1" xfId="0" applyFont="1" applyFill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24" fillId="13" borderId="4" xfId="0" applyFont="1" applyFill="1" applyBorder="1" applyAlignment="1">
      <alignment horizontal="left"/>
    </xf>
    <xf numFmtId="0" fontId="24" fillId="13" borderId="6" xfId="0" applyFont="1" applyFill="1" applyBorder="1" applyAlignment="1">
      <alignment horizontal="center"/>
    </xf>
    <xf numFmtId="0" fontId="24" fillId="13" borderId="6" xfId="0" applyFont="1" applyFill="1" applyBorder="1" applyAlignment="1">
      <alignment horizontal="left"/>
    </xf>
    <xf numFmtId="0" fontId="24" fillId="13" borderId="2" xfId="0" applyFont="1" applyFill="1" applyBorder="1" applyAlignment="1">
      <alignment horizontal="left"/>
    </xf>
    <xf numFmtId="0" fontId="24" fillId="13" borderId="2" xfId="0" applyFont="1" applyFill="1" applyBorder="1" applyAlignment="1">
      <alignment horizontal="center"/>
    </xf>
    <xf numFmtId="0" fontId="24" fillId="13" borderId="4" xfId="0" applyFont="1" applyFill="1" applyBorder="1"/>
    <xf numFmtId="0" fontId="24" fillId="13" borderId="6" xfId="0" applyFont="1" applyFill="1" applyBorder="1"/>
    <xf numFmtId="0" fontId="19" fillId="13" borderId="2" xfId="0" applyFont="1" applyFill="1" applyBorder="1" applyAlignment="1">
      <alignment horizontal="left"/>
    </xf>
    <xf numFmtId="0" fontId="19" fillId="13" borderId="4" xfId="0" applyFont="1" applyFill="1" applyBorder="1" applyAlignment="1">
      <alignment horizontal="left"/>
    </xf>
    <xf numFmtId="0" fontId="19" fillId="0" borderId="4" xfId="0" applyFont="1" applyBorder="1" applyAlignment="1">
      <alignment horizontal="left"/>
    </xf>
    <xf numFmtId="14" fontId="28" fillId="0" borderId="1" xfId="0" applyNumberFormat="1" applyFont="1" applyBorder="1" applyAlignment="1">
      <alignment horizontal="center" vertical="center" wrapText="1"/>
    </xf>
    <xf numFmtId="0" fontId="28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center" vertical="center" wrapText="1"/>
    </xf>
    <xf numFmtId="14" fontId="29" fillId="0" borderId="1" xfId="0" applyNumberFormat="1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44" fontId="8" fillId="0" borderId="1" xfId="1" applyFont="1" applyBorder="1" applyAlignment="1">
      <alignment horizontal="center" vertical="center" wrapText="1"/>
    </xf>
    <xf numFmtId="0" fontId="17" fillId="0" borderId="4" xfId="0" applyFont="1" applyBorder="1" applyAlignment="1">
      <alignment horizontal="left"/>
    </xf>
    <xf numFmtId="0" fontId="25" fillId="16" borderId="2" xfId="0" applyFont="1" applyFill="1" applyBorder="1" applyAlignment="1">
      <alignment horizontal="center"/>
    </xf>
    <xf numFmtId="0" fontId="25" fillId="16" borderId="5" xfId="0" applyFont="1" applyFill="1" applyBorder="1" applyAlignment="1">
      <alignment horizontal="center"/>
    </xf>
    <xf numFmtId="165" fontId="26" fillId="16" borderId="2" xfId="0" applyNumberFormat="1" applyFont="1" applyFill="1" applyBorder="1" applyAlignment="1">
      <alignment horizontal="center" vertical="center"/>
    </xf>
    <xf numFmtId="0" fontId="27" fillId="16" borderId="2" xfId="0" applyFont="1" applyFill="1" applyBorder="1" applyAlignment="1">
      <alignment horizontal="center"/>
    </xf>
    <xf numFmtId="0" fontId="24" fillId="13" borderId="4" xfId="0" applyFont="1" applyFill="1" applyBorder="1" applyAlignment="1">
      <alignment horizontal="left"/>
    </xf>
    <xf numFmtId="0" fontId="24" fillId="13" borderId="6" xfId="0" applyFont="1" applyFill="1" applyBorder="1" applyAlignment="1">
      <alignment horizontal="left"/>
    </xf>
    <xf numFmtId="0" fontId="12" fillId="2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11" fillId="12" borderId="1" xfId="0" applyFont="1" applyFill="1" applyBorder="1" applyAlignment="1">
      <alignment horizontal="left" vertical="center" wrapText="1"/>
    </xf>
    <xf numFmtId="0" fontId="24" fillId="13" borderId="7" xfId="0" applyFont="1" applyFill="1" applyBorder="1" applyAlignment="1">
      <alignment horizontal="left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1" fontId="1" fillId="5" borderId="1" xfId="0" applyNumberFormat="1" applyFont="1" applyFill="1" applyBorder="1" applyAlignment="1">
      <alignment horizontal="center" vertical="center" wrapText="1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6" fillId="9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2" fillId="7" borderId="0" xfId="0" applyFont="1" applyFill="1" applyAlignment="1">
      <alignment horizontal="center" vertical="center" wrapText="1"/>
    </xf>
    <xf numFmtId="0" fontId="8" fillId="0" borderId="1" xfId="0" applyNumberFormat="1" applyFont="1" applyBorder="1" applyAlignment="1">
      <alignment horizontal="center" vertical="center" wrapText="1"/>
    </xf>
    <xf numFmtId="0" fontId="16" fillId="0" borderId="4" xfId="0" applyFont="1" applyBorder="1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C0504D"/>
      <rgbColor rgb="FFF9F9F9"/>
      <rgbColor rgb="FFD9E6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C"/>
      <rgbColor rgb="FFF2F2F2"/>
      <rgbColor rgb="FFFCEDED"/>
      <rgbColor rgb="FF99CCFF"/>
      <rgbColor rgb="FFFF99CC"/>
      <rgbColor rgb="FFCC99FF"/>
      <rgbColor rgb="FFFCE4E4"/>
      <rgbColor rgb="FF2E75B6"/>
      <rgbColor rgb="FF33CCCC"/>
      <rgbColor rgb="FF99CC00"/>
      <rgbColor rgb="FFFFCC00"/>
      <rgbColor rgb="FFBF8F00"/>
      <rgbColor rgb="FFFF6600"/>
      <rgbColor rgb="FF4A7EBB"/>
      <rgbColor rgb="FF878787"/>
      <rgbColor rgb="FF003366"/>
      <rgbColor rgb="FF4F81BD"/>
      <rgbColor rgb="FF003300"/>
      <rgbColor rgb="FF404040"/>
      <rgbColor rgb="FF833C0C"/>
      <rgbColor rgb="FF993366"/>
      <rgbColor rgb="FF1F4E78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Valor total investido por Obra / Estoque BRITO</a:t>
            </a:r>
          </a:p>
        </c:rich>
      </c:tx>
      <c:layout>
        <c:manualLayout>
          <c:xMode val="edge"/>
          <c:yMode val="edge"/>
          <c:x val="0.14815777637934335"/>
          <c:y val="2.645998708252599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'Visão Geral'!$B$30</c:f>
              <c:strCache>
                <c:ptCount val="1"/>
                <c:pt idx="0">
                  <c:v>Valor Total (R$)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'Visão Geral'!$A$31:$A$36</c:f>
              <c:strCache>
                <c:ptCount val="3"/>
                <c:pt idx="0">
                  <c:v>Dialogo Alvaro Ramos</c:v>
                </c:pt>
                <c:pt idx="1">
                  <c:v>Obra P.Raposo</c:v>
                </c:pt>
                <c:pt idx="2">
                  <c:v>JVM Casa Alba</c:v>
                </c:pt>
              </c:strCache>
            </c:strRef>
          </c:cat>
          <c:val>
            <c:numRef>
              <c:f>'Visão Geral'!$B$31:$B$36</c:f>
              <c:numCache>
                <c:formatCode>"R$ "#,##0.00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D9-4C1C-B34C-DB96BF71C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448961"/>
        <c:axId val="81986579"/>
      </c:barChart>
      <c:catAx>
        <c:axId val="984489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Localização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1986579"/>
        <c:crosses val="autoZero"/>
        <c:auto val="1"/>
        <c:lblAlgn val="ctr"/>
        <c:lblOffset val="100"/>
        <c:noMultiLvlLbl val="0"/>
      </c:catAx>
      <c:valAx>
        <c:axId val="819865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84489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Itens de Materiais Diversos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tLst>
            <c:ext xmlns:c16="http://schemas.microsoft.com/office/drawing/2014/chart" uri="{C3380CC4-5D6E-409C-BE32-E72D297353CC}">
              <c16:uniqueId val="{00000000-4AC1-4507-B8D9-D65D905F6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Itens por Status (Materiais + Ferramentas)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'Visão Geral'!$B$39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'Visão Geral'!$A$40:$A$43</c:f>
              <c:strCache>
                <c:ptCount val="4"/>
                <c:pt idx="0">
                  <c:v>Em uso</c:v>
                </c:pt>
                <c:pt idx="1">
                  <c:v>Em estoque</c:v>
                </c:pt>
                <c:pt idx="2">
                  <c:v>Manutenção</c:v>
                </c:pt>
                <c:pt idx="3">
                  <c:v>Baixado</c:v>
                </c:pt>
              </c:strCache>
            </c:strRef>
          </c:cat>
          <c:val>
            <c:numRef>
              <c:f>'Visão Geral'!$B$40:$B$43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5-407C-80A6-91DC7841E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830772"/>
        <c:axId val="88993503"/>
      </c:barChart>
      <c:catAx>
        <c:axId val="8283077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Quantidade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8993503"/>
        <c:crosses val="autoZero"/>
        <c:auto val="1"/>
        <c:lblAlgn val="ctr"/>
        <c:lblOffset val="100"/>
        <c:noMultiLvlLbl val="0"/>
      </c:catAx>
      <c:valAx>
        <c:axId val="8899350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Status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28307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Compras nos últimos 12 meses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'Visão Geral'!$F$39</c:f>
              <c:strCache>
                <c:ptCount val="1"/>
                <c:pt idx="0">
                  <c:v>Valor de Compras (R$)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'Visão Geral'!$E$40:$E$51</c:f>
              <c:strCache>
                <c:ptCount val="12"/>
                <c:pt idx="0">
                  <c:v>out/25</c:v>
                </c:pt>
                <c:pt idx="1">
                  <c:v>nov/25</c:v>
                </c:pt>
                <c:pt idx="2">
                  <c:v>dez/25</c:v>
                </c:pt>
                <c:pt idx="3">
                  <c:v>jan/26</c:v>
                </c:pt>
                <c:pt idx="4">
                  <c:v>fev/26</c:v>
                </c:pt>
                <c:pt idx="5">
                  <c:v>mar/26</c:v>
                </c:pt>
                <c:pt idx="6">
                  <c:v>abr/26</c:v>
                </c:pt>
                <c:pt idx="7">
                  <c:v>mai/26</c:v>
                </c:pt>
                <c:pt idx="8">
                  <c:v>jun/26</c:v>
                </c:pt>
                <c:pt idx="9">
                  <c:v>jul/26</c:v>
                </c:pt>
                <c:pt idx="10">
                  <c:v>ago/26</c:v>
                </c:pt>
                <c:pt idx="11">
                  <c:v>set/26</c:v>
                </c:pt>
              </c:strCache>
            </c:strRef>
          </c:cat>
          <c:val>
            <c:numRef>
              <c:f>'Visão Geral'!$F$40:$F$51</c:f>
              <c:numCache>
                <c:formatCode>"R$ 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95-4579-A3BB-2CEAC5667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4465479"/>
        <c:axId val="97029733"/>
      </c:lineChart>
      <c:catAx>
        <c:axId val="844654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Mês/Ano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7029733"/>
        <c:crosses val="autoZero"/>
        <c:auto val="1"/>
        <c:lblAlgn val="ctr"/>
        <c:lblOffset val="100"/>
        <c:noMultiLvlLbl val="0"/>
      </c:catAx>
      <c:valAx>
        <c:axId val="970297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44654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55</xdr:row>
      <xdr:rowOff>176415</xdr:rowOff>
    </xdr:from>
    <xdr:to>
      <xdr:col>6</xdr:col>
      <xdr:colOff>143535</xdr:colOff>
      <xdr:row>71</xdr:row>
      <xdr:rowOff>8235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152400</xdr:colOff>
      <xdr:row>55</xdr:row>
      <xdr:rowOff>185940</xdr:rowOff>
    </xdr:from>
    <xdr:to>
      <xdr:col>14</xdr:col>
      <xdr:colOff>476910</xdr:colOff>
      <xdr:row>71</xdr:row>
      <xdr:rowOff>17760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238125</xdr:colOff>
      <xdr:row>73</xdr:row>
      <xdr:rowOff>119625</xdr:rowOff>
    </xdr:from>
    <xdr:to>
      <xdr:col>6</xdr:col>
      <xdr:colOff>153060</xdr:colOff>
      <xdr:row>88</xdr:row>
      <xdr:rowOff>141585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152400</xdr:colOff>
      <xdr:row>73</xdr:row>
      <xdr:rowOff>157725</xdr:rowOff>
    </xdr:from>
    <xdr:to>
      <xdr:col>14</xdr:col>
      <xdr:colOff>476910</xdr:colOff>
      <xdr:row>88</xdr:row>
      <xdr:rowOff>179685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showGridLines="0" zoomScaleNormal="100" workbookViewId="0">
      <selection sqref="A1:J2"/>
    </sheetView>
  </sheetViews>
  <sheetFormatPr defaultColWidth="8.7109375" defaultRowHeight="15" x14ac:dyDescent="0.25"/>
  <cols>
    <col min="1" max="10" width="13" customWidth="1"/>
  </cols>
  <sheetData>
    <row r="1" spans="1:10" ht="25.5" customHeight="1" x14ac:dyDescent="0.25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</row>
    <row r="2" spans="1:10" ht="25.5" customHeight="1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</row>
    <row r="4" spans="1:10" ht="19.5" customHeight="1" x14ac:dyDescent="0.25">
      <c r="A4" s="61" t="s">
        <v>1</v>
      </c>
      <c r="B4" s="61"/>
      <c r="C4" s="61"/>
      <c r="D4" s="61"/>
      <c r="E4" s="61"/>
      <c r="F4" s="61"/>
      <c r="G4" s="61"/>
      <c r="H4" s="61"/>
      <c r="I4" s="61"/>
      <c r="J4" s="61"/>
    </row>
    <row r="5" spans="1:10" ht="15" customHeight="1" x14ac:dyDescent="0.25">
      <c r="A5" s="62" t="s">
        <v>2</v>
      </c>
      <c r="B5" s="62"/>
      <c r="C5" s="62"/>
      <c r="D5" s="62"/>
      <c r="E5" s="62"/>
      <c r="F5" s="62"/>
      <c r="G5" s="62"/>
      <c r="H5" s="62"/>
      <c r="I5" s="62"/>
      <c r="J5" s="62"/>
    </row>
    <row r="6" spans="1:10" x14ac:dyDescent="0.25">
      <c r="A6" s="62"/>
      <c r="B6" s="62"/>
      <c r="C6" s="62"/>
      <c r="D6" s="62"/>
      <c r="E6" s="62"/>
      <c r="F6" s="62"/>
      <c r="G6" s="62"/>
      <c r="H6" s="62"/>
      <c r="I6" s="62"/>
      <c r="J6" s="62"/>
    </row>
    <row r="7" spans="1:10" x14ac:dyDescent="0.25">
      <c r="A7" s="62"/>
      <c r="B7" s="62"/>
      <c r="C7" s="62"/>
      <c r="D7" s="62"/>
      <c r="E7" s="62"/>
      <c r="F7" s="62"/>
      <c r="G7" s="62"/>
      <c r="H7" s="62"/>
      <c r="I7" s="62"/>
      <c r="J7" s="62"/>
    </row>
    <row r="8" spans="1:10" x14ac:dyDescent="0.25">
      <c r="A8" s="62"/>
      <c r="B8" s="62"/>
      <c r="C8" s="62"/>
      <c r="D8" s="62"/>
      <c r="E8" s="62"/>
      <c r="F8" s="62"/>
      <c r="G8" s="62"/>
      <c r="H8" s="62"/>
      <c r="I8" s="62"/>
      <c r="J8" s="62"/>
    </row>
    <row r="9" spans="1:10" x14ac:dyDescent="0.25">
      <c r="A9" s="62"/>
      <c r="B9" s="62"/>
      <c r="C9" s="62"/>
      <c r="D9" s="62"/>
      <c r="E9" s="62"/>
      <c r="F9" s="62"/>
      <c r="G9" s="62"/>
      <c r="H9" s="62"/>
      <c r="I9" s="62"/>
      <c r="J9" s="62"/>
    </row>
    <row r="10" spans="1:10" x14ac:dyDescent="0.25">
      <c r="A10" s="62"/>
      <c r="B10" s="62"/>
      <c r="C10" s="62"/>
      <c r="D10" s="62"/>
      <c r="E10" s="62"/>
      <c r="F10" s="62"/>
      <c r="G10" s="62"/>
      <c r="H10" s="62"/>
      <c r="I10" s="62"/>
      <c r="J10" s="62"/>
    </row>
    <row r="12" spans="1:10" ht="19.5" customHeight="1" x14ac:dyDescent="0.25">
      <c r="A12" s="61" t="s">
        <v>3</v>
      </c>
      <c r="B12" s="61"/>
      <c r="C12" s="61"/>
      <c r="D12" s="61"/>
      <c r="E12" s="61"/>
      <c r="F12" s="61"/>
      <c r="G12" s="61"/>
      <c r="H12" s="61"/>
      <c r="I12" s="61"/>
      <c r="J12" s="61"/>
    </row>
    <row r="13" spans="1:10" ht="15" customHeight="1" x14ac:dyDescent="0.25">
      <c r="A13" s="62" t="s">
        <v>4</v>
      </c>
      <c r="B13" s="62"/>
      <c r="C13" s="62"/>
      <c r="D13" s="62"/>
      <c r="E13" s="62"/>
      <c r="F13" s="62"/>
      <c r="G13" s="62"/>
      <c r="H13" s="62"/>
      <c r="I13" s="62"/>
      <c r="J13" s="62"/>
    </row>
    <row r="14" spans="1:10" x14ac:dyDescent="0.25">
      <c r="A14" s="62"/>
      <c r="B14" s="62"/>
      <c r="C14" s="62"/>
      <c r="D14" s="62"/>
      <c r="E14" s="62"/>
      <c r="F14" s="62"/>
      <c r="G14" s="62"/>
      <c r="H14" s="62"/>
      <c r="I14" s="62"/>
      <c r="J14" s="62"/>
    </row>
    <row r="15" spans="1:10" x14ac:dyDescent="0.25">
      <c r="A15" s="62"/>
      <c r="B15" s="62"/>
      <c r="C15" s="62"/>
      <c r="D15" s="62"/>
      <c r="E15" s="62"/>
      <c r="F15" s="62"/>
      <c r="G15" s="62"/>
      <c r="H15" s="62"/>
      <c r="I15" s="62"/>
      <c r="J15" s="62"/>
    </row>
    <row r="16" spans="1:10" x14ac:dyDescent="0.25">
      <c r="A16" s="62"/>
      <c r="B16" s="62"/>
      <c r="C16" s="62"/>
      <c r="D16" s="62"/>
      <c r="E16" s="62"/>
      <c r="F16" s="62"/>
      <c r="G16" s="62"/>
      <c r="H16" s="62"/>
      <c r="I16" s="62"/>
      <c r="J16" s="62"/>
    </row>
    <row r="17" spans="1:10" x14ac:dyDescent="0.25">
      <c r="A17" s="62"/>
      <c r="B17" s="62"/>
      <c r="C17" s="62"/>
      <c r="D17" s="62"/>
      <c r="E17" s="62"/>
      <c r="F17" s="62"/>
      <c r="G17" s="62"/>
      <c r="H17" s="62"/>
      <c r="I17" s="62"/>
      <c r="J17" s="62"/>
    </row>
    <row r="18" spans="1:10" x14ac:dyDescent="0.25">
      <c r="A18" s="62"/>
      <c r="B18" s="62"/>
      <c r="C18" s="62"/>
      <c r="D18" s="62"/>
      <c r="E18" s="62"/>
      <c r="F18" s="62"/>
      <c r="G18" s="62"/>
      <c r="H18" s="62"/>
      <c r="I18" s="62"/>
      <c r="J18" s="62"/>
    </row>
    <row r="19" spans="1:10" x14ac:dyDescent="0.25">
      <c r="A19" s="62"/>
      <c r="B19" s="62"/>
      <c r="C19" s="62"/>
      <c r="D19" s="62"/>
      <c r="E19" s="62"/>
      <c r="F19" s="62"/>
      <c r="G19" s="62"/>
      <c r="H19" s="62"/>
      <c r="I19" s="62"/>
      <c r="J19" s="62"/>
    </row>
    <row r="21" spans="1:10" ht="19.5" customHeight="1" x14ac:dyDescent="0.25">
      <c r="A21" s="61" t="s">
        <v>5</v>
      </c>
      <c r="B21" s="61"/>
      <c r="C21" s="61"/>
      <c r="D21" s="61"/>
      <c r="E21" s="61"/>
      <c r="F21" s="61"/>
      <c r="G21" s="61"/>
      <c r="H21" s="61"/>
      <c r="I21" s="61"/>
      <c r="J21" s="61"/>
    </row>
    <row r="22" spans="1:10" ht="15" customHeight="1" x14ac:dyDescent="0.25">
      <c r="A22" s="62" t="s">
        <v>6</v>
      </c>
      <c r="B22" s="62"/>
      <c r="C22" s="62"/>
      <c r="D22" s="62"/>
      <c r="E22" s="62"/>
      <c r="F22" s="62"/>
      <c r="G22" s="62"/>
      <c r="H22" s="62"/>
      <c r="I22" s="62"/>
      <c r="J22" s="62"/>
    </row>
    <row r="23" spans="1:10" x14ac:dyDescent="0.25">
      <c r="A23" s="62"/>
      <c r="B23" s="62"/>
      <c r="C23" s="62"/>
      <c r="D23" s="62"/>
      <c r="E23" s="62"/>
      <c r="F23" s="62"/>
      <c r="G23" s="62"/>
      <c r="H23" s="62"/>
      <c r="I23" s="62"/>
      <c r="J23" s="62"/>
    </row>
    <row r="24" spans="1:10" x14ac:dyDescent="0.25">
      <c r="A24" s="62"/>
      <c r="B24" s="62"/>
      <c r="C24" s="62"/>
      <c r="D24" s="62"/>
      <c r="E24" s="62"/>
      <c r="F24" s="62"/>
      <c r="G24" s="62"/>
      <c r="H24" s="62"/>
      <c r="I24" s="62"/>
      <c r="J24" s="62"/>
    </row>
    <row r="25" spans="1:10" x14ac:dyDescent="0.25">
      <c r="A25" s="62"/>
      <c r="B25" s="62"/>
      <c r="C25" s="62"/>
      <c r="D25" s="62"/>
      <c r="E25" s="62"/>
      <c r="F25" s="62"/>
      <c r="G25" s="62"/>
      <c r="H25" s="62"/>
      <c r="I25" s="62"/>
      <c r="J25" s="62"/>
    </row>
    <row r="26" spans="1:10" x14ac:dyDescent="0.25">
      <c r="A26" s="62"/>
      <c r="B26" s="62"/>
      <c r="C26" s="62"/>
      <c r="D26" s="62"/>
      <c r="E26" s="62"/>
      <c r="F26" s="62"/>
      <c r="G26" s="62"/>
      <c r="H26" s="62"/>
      <c r="I26" s="62"/>
      <c r="J26" s="62"/>
    </row>
    <row r="27" spans="1:10" x14ac:dyDescent="0.25">
      <c r="A27" s="62"/>
      <c r="B27" s="62"/>
      <c r="C27" s="62"/>
      <c r="D27" s="62"/>
      <c r="E27" s="62"/>
      <c r="F27" s="62"/>
      <c r="G27" s="62"/>
      <c r="H27" s="62"/>
      <c r="I27" s="62"/>
      <c r="J27" s="62"/>
    </row>
    <row r="29" spans="1:10" ht="19.5" customHeight="1" x14ac:dyDescent="0.25">
      <c r="A29" s="61" t="s">
        <v>7</v>
      </c>
      <c r="B29" s="61"/>
      <c r="C29" s="61"/>
      <c r="D29" s="61"/>
      <c r="E29" s="61"/>
      <c r="F29" s="61"/>
      <c r="G29" s="61"/>
      <c r="H29" s="61"/>
      <c r="I29" s="61"/>
      <c r="J29" s="61"/>
    </row>
    <row r="30" spans="1:10" ht="15" customHeight="1" x14ac:dyDescent="0.25">
      <c r="A30" s="62" t="s">
        <v>8</v>
      </c>
      <c r="B30" s="62"/>
      <c r="C30" s="62"/>
      <c r="D30" s="62"/>
      <c r="E30" s="62"/>
      <c r="F30" s="62"/>
      <c r="G30" s="62"/>
      <c r="H30" s="62"/>
      <c r="I30" s="62"/>
      <c r="J30" s="62"/>
    </row>
    <row r="31" spans="1:10" x14ac:dyDescent="0.25">
      <c r="A31" s="62"/>
      <c r="B31" s="62"/>
      <c r="C31" s="62"/>
      <c r="D31" s="62"/>
      <c r="E31" s="62"/>
      <c r="F31" s="62"/>
      <c r="G31" s="62"/>
      <c r="H31" s="62"/>
      <c r="I31" s="62"/>
      <c r="J31" s="62"/>
    </row>
    <row r="32" spans="1:10" x14ac:dyDescent="0.25">
      <c r="A32" s="62"/>
      <c r="B32" s="62"/>
      <c r="C32" s="62"/>
      <c r="D32" s="62"/>
      <c r="E32" s="62"/>
      <c r="F32" s="62"/>
      <c r="G32" s="62"/>
      <c r="H32" s="62"/>
      <c r="I32" s="62"/>
      <c r="J32" s="62"/>
    </row>
    <row r="33" spans="1:10" x14ac:dyDescent="0.25">
      <c r="A33" s="62"/>
      <c r="B33" s="62"/>
      <c r="C33" s="62"/>
      <c r="D33" s="62"/>
      <c r="E33" s="62"/>
      <c r="F33" s="62"/>
      <c r="G33" s="62"/>
      <c r="H33" s="62"/>
      <c r="I33" s="62"/>
      <c r="J33" s="62"/>
    </row>
    <row r="35" spans="1:10" ht="19.5" customHeight="1" x14ac:dyDescent="0.25">
      <c r="A35" s="61" t="s">
        <v>9</v>
      </c>
      <c r="B35" s="61"/>
      <c r="C35" s="61"/>
      <c r="D35" s="61"/>
      <c r="E35" s="61"/>
      <c r="F35" s="61"/>
      <c r="G35" s="61"/>
      <c r="H35" s="61"/>
      <c r="I35" s="61"/>
      <c r="J35" s="61"/>
    </row>
    <row r="36" spans="1:10" ht="15" customHeight="1" x14ac:dyDescent="0.25">
      <c r="A36" s="62" t="s">
        <v>10</v>
      </c>
      <c r="B36" s="62"/>
      <c r="C36" s="62"/>
      <c r="D36" s="62"/>
      <c r="E36" s="62"/>
      <c r="F36" s="62"/>
      <c r="G36" s="62"/>
      <c r="H36" s="62"/>
      <c r="I36" s="62"/>
      <c r="J36" s="62"/>
    </row>
    <row r="37" spans="1:10" x14ac:dyDescent="0.25">
      <c r="A37" s="62"/>
      <c r="B37" s="62"/>
      <c r="C37" s="62"/>
      <c r="D37" s="62"/>
      <c r="E37" s="62"/>
      <c r="F37" s="62"/>
      <c r="G37" s="62"/>
      <c r="H37" s="62"/>
      <c r="I37" s="62"/>
      <c r="J37" s="62"/>
    </row>
    <row r="38" spans="1:10" x14ac:dyDescent="0.25">
      <c r="A38" s="62"/>
      <c r="B38" s="62"/>
      <c r="C38" s="62"/>
      <c r="D38" s="62"/>
      <c r="E38" s="62"/>
      <c r="F38" s="62"/>
      <c r="G38" s="62"/>
      <c r="H38" s="62"/>
      <c r="I38" s="62"/>
      <c r="J38" s="62"/>
    </row>
    <row r="39" spans="1:10" x14ac:dyDescent="0.25">
      <c r="A39" s="62"/>
      <c r="B39" s="62"/>
      <c r="C39" s="62"/>
      <c r="D39" s="62"/>
      <c r="E39" s="62"/>
      <c r="F39" s="62"/>
      <c r="G39" s="62"/>
      <c r="H39" s="62"/>
      <c r="I39" s="62"/>
      <c r="J39" s="62"/>
    </row>
    <row r="40" spans="1:10" x14ac:dyDescent="0.25">
      <c r="A40" s="62"/>
      <c r="B40" s="62"/>
      <c r="C40" s="62"/>
      <c r="D40" s="62"/>
      <c r="E40" s="62"/>
      <c r="F40" s="62"/>
      <c r="G40" s="62"/>
      <c r="H40" s="62"/>
      <c r="I40" s="62"/>
      <c r="J40" s="62"/>
    </row>
    <row r="42" spans="1:10" ht="19.5" customHeight="1" x14ac:dyDescent="0.25">
      <c r="A42" s="61" t="s">
        <v>11</v>
      </c>
      <c r="B42" s="61"/>
      <c r="C42" s="61"/>
      <c r="D42" s="61"/>
      <c r="E42" s="61"/>
      <c r="F42" s="61"/>
      <c r="G42" s="61"/>
      <c r="H42" s="61"/>
      <c r="I42" s="61"/>
      <c r="J42" s="61"/>
    </row>
    <row r="43" spans="1:10" ht="15" customHeight="1" x14ac:dyDescent="0.25">
      <c r="A43" s="62" t="s">
        <v>12</v>
      </c>
      <c r="B43" s="62"/>
      <c r="C43" s="62"/>
      <c r="D43" s="62"/>
      <c r="E43" s="62"/>
      <c r="F43" s="62"/>
      <c r="G43" s="62"/>
      <c r="H43" s="62"/>
      <c r="I43" s="62"/>
      <c r="J43" s="62"/>
    </row>
    <row r="44" spans="1:10" x14ac:dyDescent="0.25">
      <c r="A44" s="62"/>
      <c r="B44" s="62"/>
      <c r="C44" s="62"/>
      <c r="D44" s="62"/>
      <c r="E44" s="62"/>
      <c r="F44" s="62"/>
      <c r="G44" s="62"/>
      <c r="H44" s="62"/>
      <c r="I44" s="62"/>
      <c r="J44" s="62"/>
    </row>
    <row r="45" spans="1:10" x14ac:dyDescent="0.25">
      <c r="A45" s="62"/>
      <c r="B45" s="62"/>
      <c r="C45" s="62"/>
      <c r="D45" s="62"/>
      <c r="E45" s="62"/>
      <c r="F45" s="62"/>
      <c r="G45" s="62"/>
      <c r="H45" s="62"/>
      <c r="I45" s="62"/>
      <c r="J45" s="62"/>
    </row>
    <row r="46" spans="1:10" x14ac:dyDescent="0.25">
      <c r="A46" s="62"/>
      <c r="B46" s="62"/>
      <c r="C46" s="62"/>
      <c r="D46" s="62"/>
      <c r="E46" s="62"/>
      <c r="F46" s="62"/>
      <c r="G46" s="62"/>
      <c r="H46" s="62"/>
      <c r="I46" s="62"/>
      <c r="J46" s="62"/>
    </row>
    <row r="47" spans="1:10" x14ac:dyDescent="0.25">
      <c r="A47" s="62"/>
      <c r="B47" s="62"/>
      <c r="C47" s="62"/>
      <c r="D47" s="62"/>
      <c r="E47" s="62"/>
      <c r="F47" s="62"/>
      <c r="G47" s="62"/>
      <c r="H47" s="62"/>
      <c r="I47" s="62"/>
      <c r="J47" s="62"/>
    </row>
    <row r="48" spans="1:10" x14ac:dyDescent="0.25">
      <c r="A48" s="62"/>
      <c r="B48" s="62"/>
      <c r="C48" s="62"/>
      <c r="D48" s="62"/>
      <c r="E48" s="62"/>
      <c r="F48" s="62"/>
      <c r="G48" s="62"/>
      <c r="H48" s="62"/>
      <c r="I48" s="62"/>
      <c r="J48" s="62"/>
    </row>
  </sheetData>
  <mergeCells count="13">
    <mergeCell ref="A36:J40"/>
    <mergeCell ref="A42:J42"/>
    <mergeCell ref="A43:J48"/>
    <mergeCell ref="A21:J21"/>
    <mergeCell ref="A22:J27"/>
    <mergeCell ref="A29:J29"/>
    <mergeCell ref="A30:J33"/>
    <mergeCell ref="A35:J35"/>
    <mergeCell ref="A1:J2"/>
    <mergeCell ref="A4:J4"/>
    <mergeCell ref="A5:J10"/>
    <mergeCell ref="A12:J12"/>
    <mergeCell ref="A13:J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32"/>
  <sheetViews>
    <sheetView showGridLines="0" zoomScaleNormal="100" workbookViewId="0">
      <pane ySplit="2" topLeftCell="A3" activePane="bottomLeft" state="frozen"/>
      <selection pane="bottomLeft" activeCell="F5" sqref="F5"/>
    </sheetView>
  </sheetViews>
  <sheetFormatPr defaultColWidth="8.7109375" defaultRowHeight="15" x14ac:dyDescent="0.25"/>
  <cols>
    <col min="1" max="1" width="22" customWidth="1"/>
    <col min="2" max="2" width="16" customWidth="1"/>
    <col min="3" max="3" width="11" customWidth="1"/>
    <col min="4" max="4" width="10" hidden="1" customWidth="1"/>
    <col min="5" max="5" width="16.140625" customWidth="1"/>
    <col min="6" max="6" width="18" customWidth="1"/>
    <col min="7" max="18" width="11" customWidth="1"/>
  </cols>
  <sheetData>
    <row r="1" spans="1:18" ht="30" customHeight="1" x14ac:dyDescent="0.25">
      <c r="A1" s="60" t="s">
        <v>13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</row>
    <row r="2" spans="1:18" ht="18" customHeight="1" x14ac:dyDescent="0.25">
      <c r="A2" s="63" t="s">
        <v>14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</row>
    <row r="3" spans="1:18" ht="6.75" customHeight="1" x14ac:dyDescent="0.25"/>
    <row r="4" spans="1:18" ht="42.75" customHeight="1" x14ac:dyDescent="0.25">
      <c r="A4" s="64" t="s">
        <v>15</v>
      </c>
      <c r="B4" s="64"/>
      <c r="D4" s="65" t="s">
        <v>16</v>
      </c>
      <c r="E4" s="65"/>
      <c r="G4" s="66" t="s">
        <v>17</v>
      </c>
      <c r="H4" s="66"/>
      <c r="J4" s="67" t="s">
        <v>18</v>
      </c>
      <c r="K4" s="67"/>
      <c r="M4" s="68" t="s">
        <v>19</v>
      </c>
      <c r="N4" s="68"/>
    </row>
    <row r="5" spans="1:18" ht="27.75" customHeight="1" x14ac:dyDescent="0.25">
      <c r="A5" s="69" t="e">
        <f>SUM('Materiais Diversos'!$K:$K)+SUM(Ferramentas!#REF!)</f>
        <v>#REF!</v>
      </c>
      <c r="B5" s="69"/>
      <c r="D5" s="70">
        <f>COUNTA('Materiais Diversos'!$A$3:$A$195)+COUNTA(Ferramentas!$A$3:$A$106)</f>
        <v>0</v>
      </c>
      <c r="E5" s="70"/>
      <c r="G5" s="71">
        <f>COUNTIF('Materiais Diversos'!$J:$J,"Sim")+COUNTIF(Ferramentas!$K:$K,"Sim")</f>
        <v>0</v>
      </c>
      <c r="H5" s="71"/>
      <c r="J5" s="72">
        <f>COUNTIF('Materiais Diversos'!$J:$J,"Não")+COUNTIF(Ferramentas!$K:$K,"Não")</f>
        <v>0</v>
      </c>
      <c r="K5" s="72"/>
      <c r="M5" s="73">
        <f>COUNTIF('Materiais Diversos'!$N:$N,"Manutenção")+COUNTIF(Ferramentas!$M:$M,"Manutenção")</f>
        <v>0</v>
      </c>
      <c r="N5" s="73"/>
    </row>
    <row r="7" spans="1:18" ht="19.5" customHeight="1" x14ac:dyDescent="0.25">
      <c r="A7" s="75" t="s">
        <v>20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</row>
    <row r="8" spans="1:18" ht="15" customHeight="1" x14ac:dyDescent="0.25">
      <c r="A8" s="76" t="s">
        <v>21</v>
      </c>
      <c r="B8" s="76"/>
      <c r="C8" s="76"/>
      <c r="D8" s="76"/>
      <c r="F8" s="76" t="s">
        <v>22</v>
      </c>
      <c r="G8" s="76"/>
      <c r="H8" s="76"/>
      <c r="I8" s="76"/>
    </row>
    <row r="9" spans="1:18" ht="25.5" x14ac:dyDescent="0.25">
      <c r="A9" s="1" t="s">
        <v>23</v>
      </c>
      <c r="B9" s="1" t="s">
        <v>24</v>
      </c>
      <c r="C9" s="1" t="s">
        <v>25</v>
      </c>
      <c r="D9" s="1" t="s">
        <v>26</v>
      </c>
      <c r="F9" s="1" t="s">
        <v>23</v>
      </c>
      <c r="G9" s="1" t="s">
        <v>24</v>
      </c>
      <c r="H9" s="1" t="s">
        <v>25</v>
      </c>
      <c r="I9" s="1" t="s">
        <v>26</v>
      </c>
    </row>
    <row r="10" spans="1:18" x14ac:dyDescent="0.25">
      <c r="A10" s="2" t="str">
        <f>IFERROR(INDEX('Materiais Diversos'!$A$3:$A$195,MATCH(ROW()-9,'Materiais Diversos'!$O$3:$O$195,0)),"")</f>
        <v/>
      </c>
      <c r="B10" s="3" t="str">
        <f>IFERROR(INDEX('Materiais Diversos'!$B$3:$B$195,MATCH(ROW()-9,'Materiais Diversos'!$O$3:$O$195,0)),"")</f>
        <v/>
      </c>
      <c r="C10" s="2" t="str">
        <f>IFERROR(INDEX('Materiais Diversos'!$H$3:$H$195,MATCH(ROW()-9,'Materiais Diversos'!$O$3:$O$195,0)),"")</f>
        <v/>
      </c>
      <c r="D10" s="4" t="str">
        <f>IFERROR(INDEX('Materiais Diversos'!$I$3:$I$195,MATCH(ROW()-9,'Materiais Diversos'!$O$3:$O$195,0)),"")</f>
        <v/>
      </c>
      <c r="F10" s="2" t="str">
        <f>IFERROR(INDEX(Ferramentas!$A$3:$A$106,MATCH(ROW()-9,Ferramentas!$N$3:$N$106,0)),"")</f>
        <v/>
      </c>
      <c r="G10" s="3" t="str">
        <f>IFERROR(INDEX(Ferramentas!$B$3:$B$106,MATCH(ROW()-9,Ferramentas!$N$3:$N$106,0)),"")</f>
        <v/>
      </c>
      <c r="H10" s="2" t="str">
        <f>IFERROR(INDEX(Ferramentas!$I$3:$I$106,MATCH(ROW()-9,Ferramentas!$N$3:$N$106,0)),"")</f>
        <v/>
      </c>
      <c r="I10" s="4" t="str">
        <f>IFERROR(INDEX(Ferramentas!$J$3:$J$106,MATCH(ROW()-9,Ferramentas!$N$3:$N$106,0)),"")</f>
        <v/>
      </c>
    </row>
    <row r="11" spans="1:18" x14ac:dyDescent="0.25">
      <c r="A11" s="5" t="str">
        <f>IFERROR(INDEX('Materiais Diversos'!$A$3:$A$195,MATCH(ROW()-9,'Materiais Diversos'!$O$3:$O$195,0)),"")</f>
        <v/>
      </c>
      <c r="B11" s="6" t="str">
        <f>IFERROR(INDEX('Materiais Diversos'!$B$3:$B$195,MATCH(ROW()-9,'Materiais Diversos'!$O$3:$O$195,0)),"")</f>
        <v/>
      </c>
      <c r="C11" s="5" t="str">
        <f>IFERROR(INDEX('Materiais Diversos'!$H$3:$H$195,MATCH(ROW()-9,'Materiais Diversos'!$O$3:$O$195,0)),"")</f>
        <v/>
      </c>
      <c r="D11" s="7" t="str">
        <f>IFERROR(INDEX('Materiais Diversos'!$I$3:$I$195,MATCH(ROW()-9,'Materiais Diversos'!$O$3:$O$195,0)),"")</f>
        <v/>
      </c>
      <c r="F11" s="5" t="str">
        <f>IFERROR(INDEX(Ferramentas!$A$3:$A$106,MATCH(ROW()-9,Ferramentas!$N$3:$N$106,0)),"")</f>
        <v/>
      </c>
      <c r="G11" s="6" t="str">
        <f>IFERROR(INDEX(Ferramentas!$B$3:$B$106,MATCH(ROW()-9,Ferramentas!$N$3:$N$106,0)),"")</f>
        <v/>
      </c>
      <c r="H11" s="5" t="str">
        <f>IFERROR(INDEX(Ferramentas!$I$3:$I$106,MATCH(ROW()-9,Ferramentas!$N$3:$N$106,0)),"")</f>
        <v/>
      </c>
      <c r="I11" s="7" t="str">
        <f>IFERROR(INDEX(Ferramentas!$J$3:$J$106,MATCH(ROW()-9,Ferramentas!$N$3:$N$106,0)),"")</f>
        <v/>
      </c>
    </row>
    <row r="12" spans="1:18" x14ac:dyDescent="0.25">
      <c r="A12" s="2" t="str">
        <f>IFERROR(INDEX('Materiais Diversos'!$A$3:$A$195,MATCH(ROW()-9,'Materiais Diversos'!$O$3:$O$195,0)),"")</f>
        <v/>
      </c>
      <c r="B12" s="3" t="str">
        <f>IFERROR(INDEX('Materiais Diversos'!$B$3:$B$195,MATCH(ROW()-9,'Materiais Diversos'!$O$3:$O$195,0)),"")</f>
        <v/>
      </c>
      <c r="C12" s="2" t="str">
        <f>IFERROR(INDEX('Materiais Diversos'!$H$3:$H$195,MATCH(ROW()-9,'Materiais Diversos'!$O$3:$O$195,0)),"")</f>
        <v/>
      </c>
      <c r="D12" s="4" t="str">
        <f>IFERROR(INDEX('Materiais Diversos'!$I$3:$I$195,MATCH(ROW()-9,'Materiais Diversos'!$O$3:$O$195,0)),"")</f>
        <v/>
      </c>
      <c r="F12" s="2" t="str">
        <f>IFERROR(INDEX(Ferramentas!$A$3:$A$106,MATCH(ROW()-9,Ferramentas!$N$3:$N$106,0)),"")</f>
        <v/>
      </c>
      <c r="G12" s="3" t="str">
        <f>IFERROR(INDEX(Ferramentas!$B$3:$B$106,MATCH(ROW()-9,Ferramentas!$N$3:$N$106,0)),"")</f>
        <v/>
      </c>
      <c r="H12" s="2" t="str">
        <f>IFERROR(INDEX(Ferramentas!$I$3:$I$106,MATCH(ROW()-9,Ferramentas!$N$3:$N$106,0)),"")</f>
        <v/>
      </c>
      <c r="I12" s="4" t="str">
        <f>IFERROR(INDEX(Ferramentas!$J$3:$J$106,MATCH(ROW()-9,Ferramentas!$N$3:$N$106,0)),"")</f>
        <v/>
      </c>
    </row>
    <row r="13" spans="1:18" x14ac:dyDescent="0.25">
      <c r="A13" s="5" t="str">
        <f>IFERROR(INDEX('Materiais Diversos'!$A$3:$A$195,MATCH(ROW()-9,'Materiais Diversos'!$O$3:$O$195,0)),"")</f>
        <v/>
      </c>
      <c r="B13" s="6" t="str">
        <f>IFERROR(INDEX('Materiais Diversos'!$B$3:$B$195,MATCH(ROW()-9,'Materiais Diversos'!$O$3:$O$195,0)),"")</f>
        <v/>
      </c>
      <c r="C13" s="5" t="str">
        <f>IFERROR(INDEX('Materiais Diversos'!$H$3:$H$195,MATCH(ROW()-9,'Materiais Diversos'!$O$3:$O$195,0)),"")</f>
        <v/>
      </c>
      <c r="D13" s="7" t="str">
        <f>IFERROR(INDEX('Materiais Diversos'!$I$3:$I$195,MATCH(ROW()-9,'Materiais Diversos'!$O$3:$O$195,0)),"")</f>
        <v/>
      </c>
      <c r="F13" s="5" t="str">
        <f>IFERROR(INDEX(Ferramentas!$A$3:$A$106,MATCH(ROW()-9,Ferramentas!$N$3:$N$106,0)),"")</f>
        <v/>
      </c>
      <c r="G13" s="6" t="str">
        <f>IFERROR(INDEX(Ferramentas!$B$3:$B$106,MATCH(ROW()-9,Ferramentas!$N$3:$N$106,0)),"")</f>
        <v/>
      </c>
      <c r="H13" s="5" t="str">
        <f>IFERROR(INDEX(Ferramentas!$I$3:$I$106,MATCH(ROW()-9,Ferramentas!$N$3:$N$106,0)),"")</f>
        <v/>
      </c>
      <c r="I13" s="7" t="str">
        <f>IFERROR(INDEX(Ferramentas!$J$3:$J$106,MATCH(ROW()-9,Ferramentas!$N$3:$N$106,0)),"")</f>
        <v/>
      </c>
    </row>
    <row r="14" spans="1:18" x14ac:dyDescent="0.25">
      <c r="A14" s="2" t="str">
        <f>IFERROR(INDEX('Materiais Diversos'!$A$3:$A$195,MATCH(ROW()-9,'Materiais Diversos'!$O$3:$O$195,0)),"")</f>
        <v/>
      </c>
      <c r="B14" s="3" t="str">
        <f>IFERROR(INDEX('Materiais Diversos'!$B$3:$B$195,MATCH(ROW()-9,'Materiais Diversos'!$O$3:$O$195,0)),"")</f>
        <v/>
      </c>
      <c r="C14" s="2" t="str">
        <f>IFERROR(INDEX('Materiais Diversos'!$H$3:$H$195,MATCH(ROW()-9,'Materiais Diversos'!$O$3:$O$195,0)),"")</f>
        <v/>
      </c>
      <c r="D14" s="4" t="str">
        <f>IFERROR(INDEX('Materiais Diversos'!$I$3:$I$195,MATCH(ROW()-9,'Materiais Diversos'!$O$3:$O$195,0)),"")</f>
        <v/>
      </c>
      <c r="F14" s="2" t="str">
        <f>IFERROR(INDEX(Ferramentas!$A$3:$A$106,MATCH(ROW()-9,Ferramentas!$N$3:$N$106,0)),"")</f>
        <v/>
      </c>
      <c r="G14" s="3" t="str">
        <f>IFERROR(INDEX(Ferramentas!$B$3:$B$106,MATCH(ROW()-9,Ferramentas!$N$3:$N$106,0)),"")</f>
        <v/>
      </c>
      <c r="H14" s="2" t="str">
        <f>IFERROR(INDEX(Ferramentas!$I$3:$I$106,MATCH(ROW()-9,Ferramentas!$N$3:$N$106,0)),"")</f>
        <v/>
      </c>
      <c r="I14" s="4" t="str">
        <f>IFERROR(INDEX(Ferramentas!$J$3:$J$106,MATCH(ROW()-9,Ferramentas!$N$3:$N$106,0)),"")</f>
        <v/>
      </c>
    </row>
    <row r="15" spans="1:18" x14ac:dyDescent="0.25">
      <c r="A15" s="5" t="str">
        <f>IFERROR(INDEX('Materiais Diversos'!$A$3:$A$195,MATCH(ROW()-9,'Materiais Diversos'!$O$3:$O$195,0)),"")</f>
        <v/>
      </c>
      <c r="B15" s="6" t="str">
        <f>IFERROR(INDEX('Materiais Diversos'!$B$3:$B$195,MATCH(ROW()-9,'Materiais Diversos'!$O$3:$O$195,0)),"")</f>
        <v/>
      </c>
      <c r="C15" s="5" t="str">
        <f>IFERROR(INDEX('Materiais Diversos'!$H$3:$H$195,MATCH(ROW()-9,'Materiais Diversos'!$O$3:$O$195,0)),"")</f>
        <v/>
      </c>
      <c r="D15" s="7" t="str">
        <f>IFERROR(INDEX('Materiais Diversos'!$I$3:$I$195,MATCH(ROW()-9,'Materiais Diversos'!$O$3:$O$195,0)),"")</f>
        <v/>
      </c>
      <c r="F15" s="5" t="str">
        <f>IFERROR(INDEX(Ferramentas!$A$3:$A$106,MATCH(ROW()-9,Ferramentas!$N$3:$N$106,0)),"")</f>
        <v/>
      </c>
      <c r="G15" s="6" t="str">
        <f>IFERROR(INDEX(Ferramentas!$B$3:$B$106,MATCH(ROW()-9,Ferramentas!$N$3:$N$106,0)),"")</f>
        <v/>
      </c>
      <c r="H15" s="5" t="str">
        <f>IFERROR(INDEX(Ferramentas!$I$3:$I$106,MATCH(ROW()-9,Ferramentas!$N$3:$N$106,0)),"")</f>
        <v/>
      </c>
      <c r="I15" s="7" t="str">
        <f>IFERROR(INDEX(Ferramentas!$J$3:$J$106,MATCH(ROW()-9,Ferramentas!$N$3:$N$106,0)),"")</f>
        <v/>
      </c>
    </row>
    <row r="16" spans="1:18" x14ac:dyDescent="0.25">
      <c r="A16" s="2" t="str">
        <f>IFERROR(INDEX('Materiais Diversos'!$A$3:$A$195,MATCH(ROW()-9,'Materiais Diversos'!$O$3:$O$195,0)),"")</f>
        <v/>
      </c>
      <c r="B16" s="3" t="str">
        <f>IFERROR(INDEX('Materiais Diversos'!$B$3:$B$195,MATCH(ROW()-9,'Materiais Diversos'!$O$3:$O$195,0)),"")</f>
        <v/>
      </c>
      <c r="C16" s="2" t="str">
        <f>IFERROR(INDEX('Materiais Diversos'!$H$3:$H$195,MATCH(ROW()-9,'Materiais Diversos'!$O$3:$O$195,0)),"")</f>
        <v/>
      </c>
      <c r="D16" s="4" t="str">
        <f>IFERROR(INDEX('Materiais Diversos'!$I$3:$I$195,MATCH(ROW()-9,'Materiais Diversos'!$O$3:$O$195,0)),"")</f>
        <v/>
      </c>
      <c r="F16" s="2" t="str">
        <f>IFERROR(INDEX(Ferramentas!$A$3:$A$106,MATCH(ROW()-9,Ferramentas!$N$3:$N$106,0)),"")</f>
        <v/>
      </c>
      <c r="G16" s="3" t="str">
        <f>IFERROR(INDEX(Ferramentas!$B$3:$B$106,MATCH(ROW()-9,Ferramentas!$N$3:$N$106,0)),"")</f>
        <v/>
      </c>
      <c r="H16" s="2" t="str">
        <f>IFERROR(INDEX(Ferramentas!$I$3:$I$106,MATCH(ROW()-9,Ferramentas!$N$3:$N$106,0)),"")</f>
        <v/>
      </c>
      <c r="I16" s="4" t="str">
        <f>IFERROR(INDEX(Ferramentas!$J$3:$J$106,MATCH(ROW()-9,Ferramentas!$N$3:$N$106,0)),"")</f>
        <v/>
      </c>
    </row>
    <row r="17" spans="1:18" x14ac:dyDescent="0.25">
      <c r="A17" s="5" t="str">
        <f>IFERROR(INDEX('Materiais Diversos'!$A$3:$A$195,MATCH(ROW()-9,'Materiais Diversos'!$O$3:$O$195,0)),"")</f>
        <v/>
      </c>
      <c r="B17" s="6" t="str">
        <f>IFERROR(INDEX('Materiais Diversos'!$B$3:$B$195,MATCH(ROW()-9,'Materiais Diversos'!$O$3:$O$195,0)),"")</f>
        <v/>
      </c>
      <c r="C17" s="5" t="str">
        <f>IFERROR(INDEX('Materiais Diversos'!$H$3:$H$195,MATCH(ROW()-9,'Materiais Diversos'!$O$3:$O$195,0)),"")</f>
        <v/>
      </c>
      <c r="D17" s="7" t="str">
        <f>IFERROR(INDEX('Materiais Diversos'!$I$3:$I$195,MATCH(ROW()-9,'Materiais Diversos'!$O$3:$O$195,0)),"")</f>
        <v/>
      </c>
      <c r="F17" s="5" t="str">
        <f>IFERROR(INDEX(Ferramentas!$A$3:$A$106,MATCH(ROW()-9,Ferramentas!$N$3:$N$106,0)),"")</f>
        <v/>
      </c>
      <c r="G17" s="6" t="str">
        <f>IFERROR(INDEX(Ferramentas!$B$3:$B$106,MATCH(ROW()-9,Ferramentas!$N$3:$N$106,0)),"")</f>
        <v/>
      </c>
      <c r="H17" s="5" t="str">
        <f>IFERROR(INDEX(Ferramentas!$I$3:$I$106,MATCH(ROW()-9,Ferramentas!$N$3:$N$106,0)),"")</f>
        <v/>
      </c>
      <c r="I17" s="7" t="str">
        <f>IFERROR(INDEX(Ferramentas!$J$3:$J$106,MATCH(ROW()-9,Ferramentas!$N$3:$N$106,0)),"")</f>
        <v/>
      </c>
    </row>
    <row r="18" spans="1:18" x14ac:dyDescent="0.25">
      <c r="A18" s="2" t="str">
        <f>IFERROR(INDEX('Materiais Diversos'!$A$3:$A$195,MATCH(ROW()-9,'Materiais Diversos'!$O$3:$O$195,0)),"")</f>
        <v/>
      </c>
      <c r="B18" s="3" t="str">
        <f>IFERROR(INDEX('Materiais Diversos'!$B$3:$B$195,MATCH(ROW()-9,'Materiais Diversos'!$O$3:$O$195,0)),"")</f>
        <v/>
      </c>
      <c r="C18" s="2" t="str">
        <f>IFERROR(INDEX('Materiais Diversos'!$H$3:$H$195,MATCH(ROW()-9,'Materiais Diversos'!$O$3:$O$195,0)),"")</f>
        <v/>
      </c>
      <c r="D18" s="4" t="str">
        <f>IFERROR(INDEX('Materiais Diversos'!$I$3:$I$195,MATCH(ROW()-9,'Materiais Diversos'!$O$3:$O$195,0)),"")</f>
        <v/>
      </c>
      <c r="F18" s="2" t="str">
        <f>IFERROR(INDEX(Ferramentas!$A$3:$A$106,MATCH(ROW()-9,Ferramentas!$N$3:$N$106,0)),"")</f>
        <v/>
      </c>
      <c r="G18" s="3" t="str">
        <f>IFERROR(INDEX(Ferramentas!$B$3:$B$106,MATCH(ROW()-9,Ferramentas!$N$3:$N$106,0)),"")</f>
        <v/>
      </c>
      <c r="H18" s="2" t="str">
        <f>IFERROR(INDEX(Ferramentas!$I$3:$I$106,MATCH(ROW()-9,Ferramentas!$N$3:$N$106,0)),"")</f>
        <v/>
      </c>
      <c r="I18" s="4" t="str">
        <f>IFERROR(INDEX(Ferramentas!$J$3:$J$106,MATCH(ROW()-9,Ferramentas!$N$3:$N$106,0)),"")</f>
        <v/>
      </c>
    </row>
    <row r="19" spans="1:18" x14ac:dyDescent="0.25">
      <c r="A19" s="5" t="str">
        <f>IFERROR(INDEX('Materiais Diversos'!$A$3:$A$195,MATCH(ROW()-9,'Materiais Diversos'!$O$3:$O$195,0)),"")</f>
        <v/>
      </c>
      <c r="B19" s="6" t="str">
        <f>IFERROR(INDEX('Materiais Diversos'!$B$3:$B$195,MATCH(ROW()-9,'Materiais Diversos'!$O$3:$O$195,0)),"")</f>
        <v/>
      </c>
      <c r="C19" s="5" t="str">
        <f>IFERROR(INDEX('Materiais Diversos'!$H$3:$H$195,MATCH(ROW()-9,'Materiais Diversos'!$O$3:$O$195,0)),"")</f>
        <v/>
      </c>
      <c r="D19" s="7" t="str">
        <f>IFERROR(INDEX('Materiais Diversos'!$I$3:$I$195,MATCH(ROW()-9,'Materiais Diversos'!$O$3:$O$195,0)),"")</f>
        <v/>
      </c>
      <c r="F19" s="5" t="str">
        <f>IFERROR(INDEX(Ferramentas!$A$3:$A$106,MATCH(ROW()-9,Ferramentas!$N$3:$N$106,0)),"")</f>
        <v/>
      </c>
      <c r="G19" s="6" t="str">
        <f>IFERROR(INDEX(Ferramentas!$B$3:$B$106,MATCH(ROW()-9,Ferramentas!$N$3:$N$106,0)),"")</f>
        <v/>
      </c>
      <c r="H19" s="5" t="str">
        <f>IFERROR(INDEX(Ferramentas!$I$3:$I$106,MATCH(ROW()-9,Ferramentas!$N$3:$N$106,0)),"")</f>
        <v/>
      </c>
      <c r="I19" s="7" t="str">
        <f>IFERROR(INDEX(Ferramentas!$J$3:$J$106,MATCH(ROW()-9,Ferramentas!$N$3:$N$106,0)),"")</f>
        <v/>
      </c>
    </row>
    <row r="20" spans="1:18" x14ac:dyDescent="0.25">
      <c r="A20" s="2" t="str">
        <f>IFERROR(INDEX('Materiais Diversos'!$A$3:$A$195,MATCH(ROW()-9,'Materiais Diversos'!$O$3:$O$195,0)),"")</f>
        <v/>
      </c>
      <c r="B20" s="3" t="str">
        <f>IFERROR(INDEX('Materiais Diversos'!$B$3:$B$195,MATCH(ROW()-9,'Materiais Diversos'!$O$3:$O$195,0)),"")</f>
        <v/>
      </c>
      <c r="C20" s="2" t="str">
        <f>IFERROR(INDEX('Materiais Diversos'!$H$3:$H$195,MATCH(ROW()-9,'Materiais Diversos'!$O$3:$O$195,0)),"")</f>
        <v/>
      </c>
      <c r="D20" s="4" t="str">
        <f>IFERROR(INDEX('Materiais Diversos'!$I$3:$I$195,MATCH(ROW()-9,'Materiais Diversos'!$O$3:$O$195,0)),"")</f>
        <v/>
      </c>
      <c r="F20" s="2" t="str">
        <f>IFERROR(INDEX(Ferramentas!$A$3:$A$106,MATCH(ROW()-9,Ferramentas!$N$3:$N$106,0)),"")</f>
        <v/>
      </c>
      <c r="G20" s="3" t="str">
        <f>IFERROR(INDEX(Ferramentas!$B$3:$B$106,MATCH(ROW()-9,Ferramentas!$N$3:$N$106,0)),"")</f>
        <v/>
      </c>
      <c r="H20" s="2" t="str">
        <f>IFERROR(INDEX(Ferramentas!$I$3:$I$106,MATCH(ROW()-9,Ferramentas!$N$3:$N$106,0)),"")</f>
        <v/>
      </c>
      <c r="I20" s="4" t="str">
        <f>IFERROR(INDEX(Ferramentas!$J$3:$J$106,MATCH(ROW()-9,Ferramentas!$N$3:$N$106,0)),"")</f>
        <v/>
      </c>
    </row>
    <row r="21" spans="1:18" x14ac:dyDescent="0.25">
      <c r="A21" s="5" t="str">
        <f>IFERROR(INDEX('Materiais Diversos'!$A$3:$A$195,MATCH(ROW()-9,'Materiais Diversos'!$O$3:$O$195,0)),"")</f>
        <v/>
      </c>
      <c r="B21" s="6" t="str">
        <f>IFERROR(INDEX('Materiais Diversos'!$B$3:$B$195,MATCH(ROW()-9,'Materiais Diversos'!$O$3:$O$195,0)),"")</f>
        <v/>
      </c>
      <c r="C21" s="5" t="str">
        <f>IFERROR(INDEX('Materiais Diversos'!$H$3:$H$195,MATCH(ROW()-9,'Materiais Diversos'!$O$3:$O$195,0)),"")</f>
        <v/>
      </c>
      <c r="D21" s="7" t="str">
        <f>IFERROR(INDEX('Materiais Diversos'!$I$3:$I$195,MATCH(ROW()-9,'Materiais Diversos'!$O$3:$O$195,0)),"")</f>
        <v/>
      </c>
      <c r="F21" s="5" t="str">
        <f>IFERROR(INDEX(Ferramentas!$A$3:$A$106,MATCH(ROW()-9,Ferramentas!$N$3:$N$106,0)),"")</f>
        <v/>
      </c>
      <c r="G21" s="6" t="str">
        <f>IFERROR(INDEX(Ferramentas!$B$3:$B$106,MATCH(ROW()-9,Ferramentas!$N$3:$N$106,0)),"")</f>
        <v/>
      </c>
      <c r="H21" s="5" t="str">
        <f>IFERROR(INDEX(Ferramentas!$I$3:$I$106,MATCH(ROW()-9,Ferramentas!$N$3:$N$106,0)),"")</f>
        <v/>
      </c>
      <c r="I21" s="7" t="str">
        <f>IFERROR(INDEX(Ferramentas!$J$3:$J$106,MATCH(ROW()-9,Ferramentas!$N$3:$N$106,0)),"")</f>
        <v/>
      </c>
    </row>
    <row r="22" spans="1:18" x14ac:dyDescent="0.25">
      <c r="A22" s="2" t="str">
        <f>IFERROR(INDEX('Materiais Diversos'!$A$3:$A$195,MATCH(ROW()-9,'Materiais Diversos'!$O$3:$O$195,0)),"")</f>
        <v/>
      </c>
      <c r="B22" s="3" t="str">
        <f>IFERROR(INDEX('Materiais Diversos'!$B$3:$B$195,MATCH(ROW()-9,'Materiais Diversos'!$O$3:$O$195,0)),"")</f>
        <v/>
      </c>
      <c r="C22" s="2" t="str">
        <f>IFERROR(INDEX('Materiais Diversos'!$H$3:$H$195,MATCH(ROW()-9,'Materiais Diversos'!$O$3:$O$195,0)),"")</f>
        <v/>
      </c>
      <c r="D22" s="4" t="str">
        <f>IFERROR(INDEX('Materiais Diversos'!$I$3:$I$195,MATCH(ROW()-9,'Materiais Diversos'!$O$3:$O$195,0)),"")</f>
        <v/>
      </c>
      <c r="F22" s="2" t="str">
        <f>IFERROR(INDEX(Ferramentas!$A$3:$A$106,MATCH(ROW()-9,Ferramentas!$N$3:$N$106,0)),"")</f>
        <v/>
      </c>
      <c r="G22" s="3" t="str">
        <f>IFERROR(INDEX(Ferramentas!$B$3:$B$106,MATCH(ROW()-9,Ferramentas!$N$3:$N$106,0)),"")</f>
        <v/>
      </c>
      <c r="H22" s="2" t="str">
        <f>IFERROR(INDEX(Ferramentas!$I$3:$I$106,MATCH(ROW()-9,Ferramentas!$N$3:$N$106,0)),"")</f>
        <v/>
      </c>
      <c r="I22" s="4" t="str">
        <f>IFERROR(INDEX(Ferramentas!$J$3:$J$106,MATCH(ROW()-9,Ferramentas!$N$3:$N$106,0)),"")</f>
        <v/>
      </c>
    </row>
    <row r="23" spans="1:18" x14ac:dyDescent="0.25">
      <c r="A23" s="5" t="str">
        <f>IFERROR(INDEX('Materiais Diversos'!$A$3:$A$195,MATCH(ROW()-9,'Materiais Diversos'!$O$3:$O$195,0)),"")</f>
        <v/>
      </c>
      <c r="B23" s="6" t="str">
        <f>IFERROR(INDEX('Materiais Diversos'!$B$3:$B$195,MATCH(ROW()-9,'Materiais Diversos'!$O$3:$O$195,0)),"")</f>
        <v/>
      </c>
      <c r="C23" s="5" t="str">
        <f>IFERROR(INDEX('Materiais Diversos'!$H$3:$H$195,MATCH(ROW()-9,'Materiais Diversos'!$O$3:$O$195,0)),"")</f>
        <v/>
      </c>
      <c r="D23" s="7" t="str">
        <f>IFERROR(INDEX('Materiais Diversos'!$I$3:$I$195,MATCH(ROW()-9,'Materiais Diversos'!$O$3:$O$195,0)),"")</f>
        <v/>
      </c>
      <c r="F23" s="5" t="str">
        <f>IFERROR(INDEX(Ferramentas!$A$3:$A$106,MATCH(ROW()-9,Ferramentas!$N$3:$N$106,0)),"")</f>
        <v/>
      </c>
      <c r="G23" s="6" t="str">
        <f>IFERROR(INDEX(Ferramentas!$B$3:$B$106,MATCH(ROW()-9,Ferramentas!$N$3:$N$106,0)),"")</f>
        <v/>
      </c>
      <c r="H23" s="5" t="str">
        <f>IFERROR(INDEX(Ferramentas!$I$3:$I$106,MATCH(ROW()-9,Ferramentas!$N$3:$N$106,0)),"")</f>
        <v/>
      </c>
      <c r="I23" s="7" t="str">
        <f>IFERROR(INDEX(Ferramentas!$J$3:$J$106,MATCH(ROW()-9,Ferramentas!$N$3:$N$106,0)),"")</f>
        <v/>
      </c>
    </row>
    <row r="24" spans="1:18" x14ac:dyDescent="0.25">
      <c r="A24" s="2" t="str">
        <f>IFERROR(INDEX('Materiais Diversos'!$A$3:$A$195,MATCH(ROW()-9,'Materiais Diversos'!$O$3:$O$195,0)),"")</f>
        <v/>
      </c>
      <c r="B24" s="3" t="str">
        <f>IFERROR(INDEX('Materiais Diversos'!$B$3:$B$195,MATCH(ROW()-9,'Materiais Diversos'!$O$3:$O$195,0)),"")</f>
        <v/>
      </c>
      <c r="C24" s="2" t="str">
        <f>IFERROR(INDEX('Materiais Diversos'!$H$3:$H$195,MATCH(ROW()-9,'Materiais Diversos'!$O$3:$O$195,0)),"")</f>
        <v/>
      </c>
      <c r="D24" s="4" t="str">
        <f>IFERROR(INDEX('Materiais Diversos'!$I$3:$I$195,MATCH(ROW()-9,'Materiais Diversos'!$O$3:$O$195,0)),"")</f>
        <v/>
      </c>
      <c r="F24" s="2" t="str">
        <f>IFERROR(INDEX(Ferramentas!$A$3:$A$106,MATCH(ROW()-9,Ferramentas!$N$3:$N$106,0)),"")</f>
        <v/>
      </c>
      <c r="G24" s="3" t="str">
        <f>IFERROR(INDEX(Ferramentas!$B$3:$B$106,MATCH(ROW()-9,Ferramentas!$N$3:$N$106,0)),"")</f>
        <v/>
      </c>
      <c r="H24" s="2" t="str">
        <f>IFERROR(INDEX(Ferramentas!$I$3:$I$106,MATCH(ROW()-9,Ferramentas!$N$3:$N$106,0)),"")</f>
        <v/>
      </c>
      <c r="I24" s="4" t="str">
        <f>IFERROR(INDEX(Ferramentas!$J$3:$J$106,MATCH(ROW()-9,Ferramentas!$N$3:$N$106,0)),"")</f>
        <v/>
      </c>
    </row>
    <row r="25" spans="1:18" x14ac:dyDescent="0.25">
      <c r="A25" s="77" t="s">
        <v>27</v>
      </c>
      <c r="B25" s="77"/>
      <c r="C25" s="77"/>
      <c r="D25" s="77"/>
      <c r="E25" s="77"/>
      <c r="F25" s="77"/>
      <c r="G25" s="77"/>
      <c r="H25" s="77"/>
      <c r="I25" s="77"/>
    </row>
    <row r="28" spans="1:18" x14ac:dyDescent="0.25">
      <c r="A28" s="74" t="s">
        <v>28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</row>
    <row r="30" spans="1:18" ht="38.25" x14ac:dyDescent="0.25">
      <c r="A30" s="1" t="s">
        <v>29</v>
      </c>
      <c r="B30" s="1" t="s">
        <v>30</v>
      </c>
      <c r="D30" s="1" t="s">
        <v>31</v>
      </c>
      <c r="E30" s="1" t="s">
        <v>32</v>
      </c>
    </row>
    <row r="31" spans="1:18" x14ac:dyDescent="0.25">
      <c r="A31" s="3" t="s">
        <v>68</v>
      </c>
      <c r="B31" s="8" t="e">
        <f>SUMIFS('Materiais Diversos'!$K:$K,'Materiais Diversos'!$H:$H,A31)+SUMIFS(Ferramentas!#REF!,Ferramentas!$I:$I,A31)</f>
        <v>#REF!</v>
      </c>
      <c r="D31" s="3" t="s">
        <v>33</v>
      </c>
      <c r="E31" s="2">
        <f>COUNTIF('Materiais Diversos'!$C:$C,D31)</f>
        <v>0</v>
      </c>
    </row>
    <row r="32" spans="1:18" x14ac:dyDescent="0.25">
      <c r="A32" s="9" t="s">
        <v>67</v>
      </c>
      <c r="B32" s="10" t="e">
        <f>SUMIFS('Materiais Diversos'!$K:$K,'Materiais Diversos'!$H:$H,A32)+SUMIFS(Ferramentas!#REF!,Ferramentas!$I:$I,A32)</f>
        <v>#REF!</v>
      </c>
      <c r="D32" s="9" t="s">
        <v>34</v>
      </c>
      <c r="E32" s="11">
        <f>COUNTIF('Materiais Diversos'!$C:$C,D32)</f>
        <v>0</v>
      </c>
    </row>
    <row r="33" spans="1:6" ht="25.5" x14ac:dyDescent="0.25">
      <c r="A33" s="3" t="s">
        <v>66</v>
      </c>
      <c r="B33" s="8" t="e">
        <f>SUMIFS('Materiais Diversos'!$K:$K,'Materiais Diversos'!$H:$H,A33)+SUMIFS(Ferramentas!#REF!,Ferramentas!$I:$I,A33)</f>
        <v>#REF!</v>
      </c>
      <c r="D33" s="3" t="s">
        <v>35</v>
      </c>
      <c r="E33" s="2">
        <f>COUNTIF('Materiais Diversos'!$C:$C,D33)</f>
        <v>0</v>
      </c>
    </row>
    <row r="34" spans="1:6" ht="25.5" x14ac:dyDescent="0.25">
      <c r="A34" s="9"/>
      <c r="B34" s="10" t="e">
        <f>SUMIFS('Materiais Diversos'!$K:$K,'Materiais Diversos'!$H:$H,A34)+SUMIFS(Ferramentas!#REF!,Ferramentas!$I:$I,A34)</f>
        <v>#REF!</v>
      </c>
      <c r="D34" s="9" t="s">
        <v>36</v>
      </c>
      <c r="E34" s="11">
        <f>COUNTIF('Materiais Diversos'!$C:$C,D34)</f>
        <v>0</v>
      </c>
    </row>
    <row r="35" spans="1:6" ht="38.25" x14ac:dyDescent="0.25">
      <c r="A35" s="3"/>
      <c r="B35" s="8" t="e">
        <f>SUMIFS('Materiais Diversos'!$K:$K,'Materiais Diversos'!$H:$H,A35)+SUMIFS(Ferramentas!#REF!,Ferramentas!$I:$I,A35)</f>
        <v>#REF!</v>
      </c>
      <c r="D35" s="3" t="s">
        <v>37</v>
      </c>
      <c r="E35" s="2">
        <f>COUNTIF('Materiais Diversos'!$C:$C,D35)</f>
        <v>0</v>
      </c>
    </row>
    <row r="36" spans="1:6" ht="25.5" x14ac:dyDescent="0.25">
      <c r="A36" s="9"/>
      <c r="B36" s="10" t="e">
        <f>SUMIFS('Materiais Diversos'!$K:$K,'Materiais Diversos'!$H:$H,A36)+SUMIFS(Ferramentas!#REF!,Ferramentas!$I:$I,A36)</f>
        <v>#REF!</v>
      </c>
      <c r="D36" s="9" t="s">
        <v>38</v>
      </c>
      <c r="E36" s="11">
        <f>COUNTIF('Materiais Diversos'!$C:$C,D36)</f>
        <v>0</v>
      </c>
    </row>
    <row r="39" spans="1:6" ht="25.5" x14ac:dyDescent="0.25">
      <c r="A39" s="1" t="s">
        <v>39</v>
      </c>
      <c r="B39" s="1" t="s">
        <v>32</v>
      </c>
      <c r="D39" s="1" t="s">
        <v>40</v>
      </c>
      <c r="E39" s="1" t="s">
        <v>41</v>
      </c>
      <c r="F39" s="1" t="s">
        <v>42</v>
      </c>
    </row>
    <row r="40" spans="1:6" x14ac:dyDescent="0.25">
      <c r="A40" s="3" t="s">
        <v>43</v>
      </c>
      <c r="B40" s="2">
        <f>COUNTIF('Materiais Diversos'!$N:$N,A40)+COUNTIF(Ferramentas!$M:$M,A40)</f>
        <v>0</v>
      </c>
      <c r="D40">
        <f ca="1">YEAR(EDATE(TODAY(),-11))*100+MONTH(EDATE(TODAY(),-11))</f>
        <v>202510</v>
      </c>
      <c r="E40" s="3" t="str">
        <f ca="1">CHOOSE(MONTH(EDATE(TODAY(),-11)),"jan","fev","mar","abr","mai","jun","jul","ago","set","out","nov","dez")&amp;"/"&amp;TEXT(MOD(YEAR(EDATE(TODAY(),-11)),100),"00")</f>
        <v>out/25</v>
      </c>
      <c r="F40" s="8" t="e">
        <f ca="1">SUMPRODUCT(('Materiais Diversos'!$F$3:$F$195&lt;&gt;"")*(YEAR('Materiais Diversos'!$F$3:$F$195)*100+MONTH('Materiais Diversos'!$F$3:$F$195)=D40)*'Materiais Diversos'!$K$3:$K$195)+SUMPRODUCT((Ferramentas!$D$3:$D$106&lt;&gt;"")*(YEAR(Ferramentas!$D$3:$D$106)*100+MONTH(Ferramentas!$D$3:$D$106)=D40)*Ferramentas!#REF!)</f>
        <v>#REF!</v>
      </c>
    </row>
    <row r="41" spans="1:6" x14ac:dyDescent="0.25">
      <c r="A41" s="9" t="s">
        <v>44</v>
      </c>
      <c r="B41" s="11">
        <f>COUNTIF('Materiais Diversos'!$N:$N,A41)+COUNTIF(Ferramentas!$M:$M,A41)</f>
        <v>0</v>
      </c>
      <c r="D41">
        <f ca="1">YEAR(EDATE(TODAY(),-10))*100+MONTH(EDATE(TODAY(),-10))</f>
        <v>202511</v>
      </c>
      <c r="E41" s="9" t="str">
        <f ca="1">CHOOSE(MONTH(EDATE(TODAY(),-10)),"jan","fev","mar","abr","mai","jun","jul","ago","set","out","nov","dez")&amp;"/"&amp;TEXT(MOD(YEAR(EDATE(TODAY(),-10)),100),"00")</f>
        <v>nov/25</v>
      </c>
      <c r="F41" s="10" t="e">
        <f ca="1">SUMPRODUCT(('Materiais Diversos'!$F$3:$F$195&lt;&gt;"")*(YEAR('Materiais Diversos'!$F$3:$F$195)*100+MONTH('Materiais Diversos'!$F$3:$F$195)=D41)*'Materiais Diversos'!$K$3:$K$195)+SUMPRODUCT((Ferramentas!$D$3:$D$106&lt;&gt;"")*(YEAR(Ferramentas!$D$3:$D$106)*100+MONTH(Ferramentas!$D$3:$D$106)=D41)*Ferramentas!#REF!)</f>
        <v>#REF!</v>
      </c>
    </row>
    <row r="42" spans="1:6" x14ac:dyDescent="0.25">
      <c r="A42" s="3" t="s">
        <v>45</v>
      </c>
      <c r="B42" s="2">
        <f>COUNTIF('Materiais Diversos'!$N:$N,A42)+COUNTIF(Ferramentas!$M:$M,A42)</f>
        <v>0</v>
      </c>
      <c r="D42">
        <f ca="1">YEAR(EDATE(TODAY(),-9))*100+MONTH(EDATE(TODAY(),-9))</f>
        <v>202512</v>
      </c>
      <c r="E42" s="3" t="str">
        <f ca="1">CHOOSE(MONTH(EDATE(TODAY(),-9)),"jan","fev","mar","abr","mai","jun","jul","ago","set","out","nov","dez")&amp;"/"&amp;TEXT(MOD(YEAR(EDATE(TODAY(),-9)),100),"00")</f>
        <v>dez/25</v>
      </c>
      <c r="F42" s="8" t="e">
        <f ca="1">SUMPRODUCT(('Materiais Diversos'!$F$3:$F$195&lt;&gt;"")*(YEAR('Materiais Diversos'!$F$3:$F$195)*100+MONTH('Materiais Diversos'!$F$3:$F$195)=D42)*'Materiais Diversos'!$K$3:$K$195)+SUMPRODUCT((Ferramentas!$D$3:$D$106&lt;&gt;"")*(YEAR(Ferramentas!$D$3:$D$106)*100+MONTH(Ferramentas!$D$3:$D$106)=D42)*Ferramentas!#REF!)</f>
        <v>#REF!</v>
      </c>
    </row>
    <row r="43" spans="1:6" x14ac:dyDescent="0.25">
      <c r="A43" s="9" t="s">
        <v>46</v>
      </c>
      <c r="B43" s="11">
        <f>COUNTIF('Materiais Diversos'!$N:$N,A43)+COUNTIF(Ferramentas!$M:$M,A43)</f>
        <v>0</v>
      </c>
      <c r="D43">
        <f ca="1">YEAR(EDATE(TODAY(),-8))*100+MONTH(EDATE(TODAY(),-8))</f>
        <v>202601</v>
      </c>
      <c r="E43" s="9" t="str">
        <f ca="1">CHOOSE(MONTH(EDATE(TODAY(),-8)),"jan","fev","mar","abr","mai","jun","jul","ago","set","out","nov","dez")&amp;"/"&amp;TEXT(MOD(YEAR(EDATE(TODAY(),-8)),100),"00")</f>
        <v>jan/26</v>
      </c>
      <c r="F43" s="10" t="e">
        <f ca="1">SUMPRODUCT(('Materiais Diversos'!$F$3:$F$195&lt;&gt;"")*(YEAR('Materiais Diversos'!$F$3:$F$195)*100+MONTH('Materiais Diversos'!$F$3:$F$195)=D43)*'Materiais Diversos'!$K$3:$K$195)+SUMPRODUCT((Ferramentas!$D$3:$D$106&lt;&gt;"")*(YEAR(Ferramentas!$D$3:$D$106)*100+MONTH(Ferramentas!$D$3:$D$106)=D43)*Ferramentas!#REF!)</f>
        <v>#REF!</v>
      </c>
    </row>
    <row r="44" spans="1:6" x14ac:dyDescent="0.25">
      <c r="D44">
        <f ca="1">YEAR(EDATE(TODAY(),-7))*100+MONTH(EDATE(TODAY(),-7))</f>
        <v>202602</v>
      </c>
      <c r="E44" s="3" t="str">
        <f ca="1">CHOOSE(MONTH(EDATE(TODAY(),-7)),"jan","fev","mar","abr","mai","jun","jul","ago","set","out","nov","dez")&amp;"/"&amp;TEXT(MOD(YEAR(EDATE(TODAY(),-7)),100),"00")</f>
        <v>fev/26</v>
      </c>
      <c r="F44" s="8" t="e">
        <f ca="1">SUMPRODUCT(('Materiais Diversos'!$F$3:$F$195&lt;&gt;"")*(YEAR('Materiais Diversos'!$F$3:$F$195)*100+MONTH('Materiais Diversos'!$F$3:$F$195)=D44)*'Materiais Diversos'!$K$3:$K$195)+SUMPRODUCT((Ferramentas!$D$3:$D$106&lt;&gt;"")*(YEAR(Ferramentas!$D$3:$D$106)*100+MONTH(Ferramentas!$D$3:$D$106)=D44)*Ferramentas!#REF!)</f>
        <v>#REF!</v>
      </c>
    </row>
    <row r="45" spans="1:6" x14ac:dyDescent="0.25">
      <c r="D45">
        <f ca="1">YEAR(EDATE(TODAY(),-6))*100+MONTH(EDATE(TODAY(),-6))</f>
        <v>202603</v>
      </c>
      <c r="E45" s="9" t="str">
        <f ca="1">CHOOSE(MONTH(EDATE(TODAY(),-6)),"jan","fev","mar","abr","mai","jun","jul","ago","set","out","nov","dez")&amp;"/"&amp;TEXT(MOD(YEAR(EDATE(TODAY(),-6)),100),"00")</f>
        <v>mar/26</v>
      </c>
      <c r="F45" s="10" t="e">
        <f ca="1">SUMPRODUCT(('Materiais Diversos'!$F$3:$F$195&lt;&gt;"")*(YEAR('Materiais Diversos'!$F$3:$F$195)*100+MONTH('Materiais Diversos'!$F$3:$F$195)=D45)*'Materiais Diversos'!$K$3:$K$195)+SUMPRODUCT((Ferramentas!$D$3:$D$106&lt;&gt;"")*(YEAR(Ferramentas!$D$3:$D$106)*100+MONTH(Ferramentas!$D$3:$D$106)=D45)*Ferramentas!#REF!)</f>
        <v>#REF!</v>
      </c>
    </row>
    <row r="46" spans="1:6" x14ac:dyDescent="0.25">
      <c r="D46">
        <f ca="1">YEAR(EDATE(TODAY(),-5))*100+MONTH(EDATE(TODAY(),-5))</f>
        <v>202604</v>
      </c>
      <c r="E46" s="3" t="str">
        <f ca="1">CHOOSE(MONTH(EDATE(TODAY(),-5)),"jan","fev","mar","abr","mai","jun","jul","ago","set","out","nov","dez")&amp;"/"&amp;TEXT(MOD(YEAR(EDATE(TODAY(),-5)),100),"00")</f>
        <v>abr/26</v>
      </c>
      <c r="F46" s="8" t="e">
        <f ca="1">SUMPRODUCT(('Materiais Diversos'!$F$3:$F$195&lt;&gt;"")*(YEAR('Materiais Diversos'!$F$3:$F$195)*100+MONTH('Materiais Diversos'!$F$3:$F$195)=D46)*'Materiais Diversos'!$K$3:$K$195)+SUMPRODUCT((Ferramentas!$D$3:$D$106&lt;&gt;"")*(YEAR(Ferramentas!$D$3:$D$106)*100+MONTH(Ferramentas!$D$3:$D$106)=D46)*Ferramentas!#REF!)</f>
        <v>#REF!</v>
      </c>
    </row>
    <row r="47" spans="1:6" x14ac:dyDescent="0.25">
      <c r="D47">
        <f ca="1">YEAR(EDATE(TODAY(),-4))*100+MONTH(EDATE(TODAY(),-4))</f>
        <v>202605</v>
      </c>
      <c r="E47" s="9" t="str">
        <f ca="1">CHOOSE(MONTH(EDATE(TODAY(),-4)),"jan","fev","mar","abr","mai","jun","jul","ago","set","out","nov","dez")&amp;"/"&amp;TEXT(MOD(YEAR(EDATE(TODAY(),-4)),100),"00")</f>
        <v>mai/26</v>
      </c>
      <c r="F47" s="10" t="e">
        <f ca="1">SUMPRODUCT(('Materiais Diversos'!$F$3:$F$195&lt;&gt;"")*(YEAR('Materiais Diversos'!$F$3:$F$195)*100+MONTH('Materiais Diversos'!$F$3:$F$195)=D47)*'Materiais Diversos'!$K$3:$K$195)+SUMPRODUCT((Ferramentas!$D$3:$D$106&lt;&gt;"")*(YEAR(Ferramentas!$D$3:$D$106)*100+MONTH(Ferramentas!$D$3:$D$106)=D47)*Ferramentas!#REF!)</f>
        <v>#REF!</v>
      </c>
    </row>
    <row r="48" spans="1:6" x14ac:dyDescent="0.25">
      <c r="D48">
        <f ca="1">YEAR(EDATE(TODAY(),-3))*100+MONTH(EDATE(TODAY(),-3))</f>
        <v>202606</v>
      </c>
      <c r="E48" s="3" t="str">
        <f ca="1">CHOOSE(MONTH(EDATE(TODAY(),-3)),"jan","fev","mar","abr","mai","jun","jul","ago","set","out","nov","dez")&amp;"/"&amp;TEXT(MOD(YEAR(EDATE(TODAY(),-3)),100),"00")</f>
        <v>jun/26</v>
      </c>
      <c r="F48" s="8" t="e">
        <f ca="1">SUMPRODUCT(('Materiais Diversos'!$F$3:$F$195&lt;&gt;"")*(YEAR('Materiais Diversos'!$F$3:$F$195)*100+MONTH('Materiais Diversos'!$F$3:$F$195)=D48)*'Materiais Diversos'!$K$3:$K$195)+SUMPRODUCT((Ferramentas!$D$3:$D$106&lt;&gt;"")*(YEAR(Ferramentas!$D$3:$D$106)*100+MONTH(Ferramentas!$D$3:$D$106)=D48)*Ferramentas!#REF!)</f>
        <v>#REF!</v>
      </c>
    </row>
    <row r="49" spans="1:18" x14ac:dyDescent="0.25">
      <c r="D49">
        <f ca="1">YEAR(EDATE(TODAY(),-2))*100+MONTH(EDATE(TODAY(),-2))</f>
        <v>202607</v>
      </c>
      <c r="E49" s="9" t="str">
        <f ca="1">CHOOSE(MONTH(EDATE(TODAY(),-2)),"jan","fev","mar","abr","mai","jun","jul","ago","set","out","nov","dez")&amp;"/"&amp;TEXT(MOD(YEAR(EDATE(TODAY(),-2)),100),"00")</f>
        <v>jul/26</v>
      </c>
      <c r="F49" s="10" t="e">
        <f ca="1">SUMPRODUCT(('Materiais Diversos'!$F$3:$F$195&lt;&gt;"")*(YEAR('Materiais Diversos'!$F$3:$F$195)*100+MONTH('Materiais Diversos'!$F$3:$F$195)=D49)*'Materiais Diversos'!$K$3:$K$195)+SUMPRODUCT((Ferramentas!$D$3:$D$106&lt;&gt;"")*(YEAR(Ferramentas!$D$3:$D$106)*100+MONTH(Ferramentas!$D$3:$D$106)=D49)*Ferramentas!#REF!)</f>
        <v>#REF!</v>
      </c>
    </row>
    <row r="50" spans="1:18" x14ac:dyDescent="0.25">
      <c r="D50">
        <f ca="1">YEAR(EDATE(TODAY(),-1))*100+MONTH(EDATE(TODAY(),-1))</f>
        <v>202608</v>
      </c>
      <c r="E50" s="3" t="str">
        <f ca="1">CHOOSE(MONTH(EDATE(TODAY(),-1)),"jan","fev","mar","abr","mai","jun","jul","ago","set","out","nov","dez")&amp;"/"&amp;TEXT(MOD(YEAR(EDATE(TODAY(),-1)),100),"00")</f>
        <v>ago/26</v>
      </c>
      <c r="F50" s="8" t="e">
        <f ca="1">SUMPRODUCT(('Materiais Diversos'!$F$3:$F$195&lt;&gt;"")*(YEAR('Materiais Diversos'!$F$3:$F$195)*100+MONTH('Materiais Diversos'!$F$3:$F$195)=D50)*'Materiais Diversos'!$K$3:$K$195)+SUMPRODUCT((Ferramentas!$D$3:$D$106&lt;&gt;"")*(YEAR(Ferramentas!$D$3:$D$106)*100+MONTH(Ferramentas!$D$3:$D$106)=D50)*Ferramentas!#REF!)</f>
        <v>#REF!</v>
      </c>
    </row>
    <row r="51" spans="1:18" x14ac:dyDescent="0.25">
      <c r="D51">
        <f ca="1">YEAR(TODAY())*100+MONTH(TODAY())</f>
        <v>202609</v>
      </c>
      <c r="E51" s="9" t="str">
        <f ca="1">CHOOSE(MONTH(TODAY()),"jan","fev","mar","abr","mai","jun","jul","ago","set","out","nov","dez")&amp;"/"&amp;TEXT(MOD(YEAR(TODAY()),100),"00")</f>
        <v>set/26</v>
      </c>
      <c r="F51" s="10" t="e">
        <f ca="1">SUMPRODUCT(('Materiais Diversos'!$F$3:$F$195&lt;&gt;"")*(YEAR('Materiais Diversos'!$F$3:$F$195)*100+MONTH('Materiais Diversos'!$F$3:$F$195)=D51)*'Materiais Diversos'!$K$3:$K$195)+SUMPRODUCT((Ferramentas!$D$3:$D$106&lt;&gt;"")*(YEAR(Ferramentas!$D$3:$D$106)*100+MONTH(Ferramentas!$D$3:$D$106)=D51)*Ferramentas!#REF!)</f>
        <v>#REF!</v>
      </c>
    </row>
    <row r="54" spans="1:18" x14ac:dyDescent="0.25">
      <c r="A54" s="74" t="s">
        <v>47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</row>
    <row r="125" spans="1:18" x14ac:dyDescent="0.25">
      <c r="A125" s="57" t="s">
        <v>48</v>
      </c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</row>
    <row r="126" spans="1:18" ht="15" customHeight="1" x14ac:dyDescent="0.25">
      <c r="A126" s="58" t="s">
        <v>49</v>
      </c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</row>
    <row r="127" spans="1:18" x14ac:dyDescent="0.25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</row>
    <row r="128" spans="1:18" x14ac:dyDescent="0.25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</row>
    <row r="129" spans="1:18" x14ac:dyDescent="0.25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</row>
    <row r="130" spans="1:18" x14ac:dyDescent="0.25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</row>
    <row r="131" spans="1:18" x14ac:dyDescent="0.25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</row>
    <row r="132" spans="1:18" x14ac:dyDescent="0.25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</row>
  </sheetData>
  <mergeCells count="20">
    <mergeCell ref="A54:R54"/>
    <mergeCell ref="A125:R125"/>
    <mergeCell ref="A126:R132"/>
    <mergeCell ref="A7:R7"/>
    <mergeCell ref="A8:D8"/>
    <mergeCell ref="F8:I8"/>
    <mergeCell ref="A25:I25"/>
    <mergeCell ref="A28:R28"/>
    <mergeCell ref="A5:B5"/>
    <mergeCell ref="D5:E5"/>
    <mergeCell ref="G5:H5"/>
    <mergeCell ref="J5:K5"/>
    <mergeCell ref="M5:N5"/>
    <mergeCell ref="A1:R1"/>
    <mergeCell ref="A2:R2"/>
    <mergeCell ref="A4:B4"/>
    <mergeCell ref="D4:E4"/>
    <mergeCell ref="G4:H4"/>
    <mergeCell ref="J4:K4"/>
    <mergeCell ref="M4:N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07"/>
  <sheetViews>
    <sheetView showGridLines="0" zoomScaleNormal="100" workbookViewId="0">
      <pane ySplit="2" topLeftCell="A48" activePane="bottomLeft" state="frozen"/>
      <selection pane="bottomLeft" activeCell="A27" sqref="A27:XFD27"/>
    </sheetView>
  </sheetViews>
  <sheetFormatPr defaultColWidth="8.7109375" defaultRowHeight="15" x14ac:dyDescent="0.25"/>
  <cols>
    <col min="1" max="1" width="12.140625" customWidth="1"/>
    <col min="2" max="2" width="46" customWidth="1"/>
    <col min="3" max="4" width="12.5703125" customWidth="1"/>
    <col min="5" max="5" width="15" customWidth="1"/>
    <col min="6" max="6" width="13" customWidth="1"/>
    <col min="7" max="7" width="26" customWidth="1"/>
    <col min="8" max="8" width="24" customWidth="1"/>
    <col min="9" max="9" width="16" customWidth="1"/>
    <col min="10" max="10" width="13" customWidth="1"/>
    <col min="11" max="11" width="18" customWidth="1"/>
    <col min="12" max="12" width="16" customWidth="1"/>
    <col min="13" max="13" width="26" customWidth="1"/>
    <col min="14" max="14" width="13" customWidth="1"/>
    <col min="15" max="15" width="13" hidden="1" customWidth="1"/>
  </cols>
  <sheetData>
    <row r="1" spans="1:15" ht="25.5" customHeight="1" x14ac:dyDescent="0.25">
      <c r="A1" s="56" t="s">
        <v>50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2" spans="1:15" ht="25.5" x14ac:dyDescent="0.25">
      <c r="A2" s="1" t="s">
        <v>23</v>
      </c>
      <c r="B2" s="1" t="s">
        <v>51</v>
      </c>
      <c r="C2" s="1" t="s">
        <v>127</v>
      </c>
      <c r="D2" s="25" t="s">
        <v>128</v>
      </c>
      <c r="E2" s="1" t="s">
        <v>52</v>
      </c>
      <c r="F2" s="1" t="s">
        <v>53</v>
      </c>
      <c r="G2" s="1" t="s">
        <v>54</v>
      </c>
      <c r="H2" s="1" t="s">
        <v>55</v>
      </c>
      <c r="I2" s="1" t="s">
        <v>56</v>
      </c>
      <c r="J2" s="1" t="s">
        <v>57</v>
      </c>
      <c r="K2" s="1" t="s">
        <v>58</v>
      </c>
      <c r="L2" s="1" t="s">
        <v>59</v>
      </c>
      <c r="M2" s="1" t="s">
        <v>60</v>
      </c>
      <c r="N2" s="1" t="s">
        <v>39</v>
      </c>
    </row>
    <row r="3" spans="1:15" ht="18.75" x14ac:dyDescent="0.3">
      <c r="A3" s="3"/>
      <c r="B3" s="37"/>
      <c r="C3" s="50"/>
      <c r="D3" s="24"/>
      <c r="E3" s="2"/>
      <c r="F3" s="4"/>
      <c r="G3" s="3"/>
      <c r="H3" s="26"/>
      <c r="I3" s="4"/>
      <c r="J3" s="2"/>
      <c r="K3" s="8"/>
      <c r="L3" s="3"/>
      <c r="M3" s="3"/>
      <c r="N3" s="3"/>
    </row>
    <row r="4" spans="1:15" ht="18.75" x14ac:dyDescent="0.3">
      <c r="A4" s="3"/>
      <c r="B4" s="37"/>
      <c r="C4" s="50"/>
      <c r="D4" s="24"/>
      <c r="E4" s="2"/>
      <c r="F4" s="4"/>
      <c r="G4" s="3"/>
      <c r="H4" s="26"/>
      <c r="I4" s="4"/>
      <c r="J4" s="2"/>
      <c r="K4" s="8"/>
      <c r="L4" s="3"/>
      <c r="M4" s="3"/>
      <c r="N4" s="3"/>
    </row>
    <row r="5" spans="1:15" ht="18.75" x14ac:dyDescent="0.3">
      <c r="A5" s="3"/>
      <c r="B5" s="37"/>
      <c r="C5" s="50"/>
      <c r="D5" s="24"/>
      <c r="E5" s="2"/>
      <c r="F5" s="4"/>
      <c r="G5" s="3"/>
      <c r="H5" s="26"/>
      <c r="I5" s="4"/>
      <c r="J5" s="2"/>
      <c r="K5" s="8"/>
      <c r="L5" s="3"/>
      <c r="M5" s="3"/>
      <c r="N5" s="3"/>
    </row>
    <row r="6" spans="1:15" x14ac:dyDescent="0.25">
      <c r="A6" s="3"/>
      <c r="B6" s="38" t="s">
        <v>93</v>
      </c>
      <c r="C6" s="51">
        <v>12</v>
      </c>
      <c r="D6" s="27"/>
      <c r="E6" s="2"/>
      <c r="F6" s="4"/>
      <c r="G6" s="3"/>
      <c r="H6" s="27"/>
      <c r="I6" s="4"/>
      <c r="J6" s="2"/>
      <c r="K6" s="8"/>
      <c r="L6" s="3"/>
      <c r="M6" s="3"/>
      <c r="N6" s="3"/>
      <c r="O6" t="str">
        <f>IF($N6="Manutenção",COUNTIF($N$3:$N6,"Manutenção"),"")</f>
        <v/>
      </c>
    </row>
    <row r="7" spans="1:15" x14ac:dyDescent="0.25">
      <c r="A7" s="3"/>
      <c r="B7" s="38" t="s">
        <v>94</v>
      </c>
      <c r="C7" s="52">
        <v>0</v>
      </c>
      <c r="D7" s="26"/>
      <c r="E7" s="2"/>
      <c r="F7" s="4"/>
      <c r="G7" s="3"/>
      <c r="H7" s="27"/>
      <c r="I7" s="4"/>
      <c r="J7" s="2"/>
      <c r="K7" s="8"/>
      <c r="L7" s="3"/>
      <c r="M7" s="3"/>
      <c r="N7" s="3"/>
      <c r="O7" t="str">
        <f>IF($N7="Manutenção",COUNTIF($N$3:$N7,"Manutenção"),"")</f>
        <v/>
      </c>
    </row>
    <row r="8" spans="1:15" x14ac:dyDescent="0.25">
      <c r="A8" s="3"/>
      <c r="B8" s="38" t="s">
        <v>95</v>
      </c>
      <c r="C8" s="52">
        <v>0</v>
      </c>
      <c r="D8" s="26"/>
      <c r="E8" s="2"/>
      <c r="F8" s="4"/>
      <c r="G8" s="3"/>
      <c r="H8" s="27"/>
      <c r="I8" s="4"/>
      <c r="J8" s="2"/>
      <c r="K8" s="8"/>
      <c r="L8" s="3"/>
      <c r="M8" s="3"/>
      <c r="N8" s="3"/>
      <c r="O8" t="str">
        <f>IF($N8="Manutenção",COUNTIF($N$3:$N8,"Manutenção"),"")</f>
        <v/>
      </c>
    </row>
    <row r="9" spans="1:15" x14ac:dyDescent="0.25">
      <c r="A9" s="3"/>
      <c r="B9" s="38" t="s">
        <v>73</v>
      </c>
      <c r="C9" s="52">
        <v>2</v>
      </c>
      <c r="D9" s="26"/>
      <c r="E9" s="2"/>
      <c r="F9" s="4"/>
      <c r="G9" s="3"/>
      <c r="H9" s="27"/>
      <c r="I9" s="4"/>
      <c r="J9" s="2"/>
      <c r="K9" s="8"/>
      <c r="L9" s="3"/>
      <c r="M9" s="3"/>
      <c r="N9" s="3"/>
      <c r="O9" t="str">
        <f>IF($N9="Manutenção",COUNTIF($N$3:$N9,"Manutenção"),"")</f>
        <v/>
      </c>
    </row>
    <row r="10" spans="1:15" x14ac:dyDescent="0.25">
      <c r="A10" s="3"/>
      <c r="B10" s="38" t="s">
        <v>96</v>
      </c>
      <c r="C10" s="52">
        <v>3</v>
      </c>
      <c r="D10" s="26"/>
      <c r="E10" s="2"/>
      <c r="F10" s="4"/>
      <c r="G10" s="3"/>
      <c r="H10" s="26"/>
      <c r="I10" s="4"/>
      <c r="J10" s="2"/>
      <c r="K10" s="8"/>
      <c r="L10" s="3"/>
      <c r="M10" s="3"/>
      <c r="N10" s="3"/>
      <c r="O10" t="str">
        <f>IF($N10="Manutenção",COUNTIF($N$3:$N10,"Manutenção"),"")</f>
        <v/>
      </c>
    </row>
    <row r="11" spans="1:15" x14ac:dyDescent="0.25">
      <c r="A11" s="3"/>
      <c r="B11" s="38" t="s">
        <v>97</v>
      </c>
      <c r="C11" s="52">
        <v>1</v>
      </c>
      <c r="D11" s="26"/>
      <c r="E11" s="2"/>
      <c r="F11" s="4"/>
      <c r="G11" s="3"/>
      <c r="H11" s="26"/>
      <c r="I11" s="4"/>
      <c r="J11" s="2"/>
      <c r="K11" s="8"/>
      <c r="L11" s="3"/>
      <c r="M11" s="3"/>
      <c r="N11" s="3"/>
      <c r="O11" t="str">
        <f>IF($N11="Manutenção",COUNTIF($N$3:$N11,"Manutenção"),"")</f>
        <v/>
      </c>
    </row>
    <row r="12" spans="1:15" x14ac:dyDescent="0.25">
      <c r="A12" s="3"/>
      <c r="B12" s="38" t="s">
        <v>74</v>
      </c>
      <c r="C12" s="52">
        <v>3</v>
      </c>
      <c r="D12" s="26"/>
      <c r="E12" s="2"/>
      <c r="F12" s="4"/>
      <c r="G12" s="3"/>
      <c r="H12" s="27"/>
      <c r="I12" s="4"/>
      <c r="J12" s="2"/>
      <c r="K12" s="8"/>
      <c r="L12" s="3"/>
      <c r="M12" s="3"/>
      <c r="N12" s="3"/>
      <c r="O12" t="str">
        <f>IF($N12="Manutenção",COUNTIF($N$3:$N12,"Manutenção"),"")</f>
        <v/>
      </c>
    </row>
    <row r="13" spans="1:15" x14ac:dyDescent="0.25">
      <c r="A13" s="3"/>
      <c r="B13" s="38" t="s">
        <v>75</v>
      </c>
      <c r="C13" s="52">
        <v>6</v>
      </c>
      <c r="D13" s="26"/>
      <c r="E13" s="2"/>
      <c r="F13" s="4"/>
      <c r="G13" s="3"/>
      <c r="H13" s="27"/>
      <c r="I13" s="4"/>
      <c r="J13" s="2"/>
      <c r="K13" s="8"/>
      <c r="L13" s="3"/>
      <c r="M13" s="3"/>
      <c r="N13" s="3"/>
      <c r="O13" t="str">
        <f>IF($N13="Manutenção",COUNTIF($N$3:$N13,"Manutenção"),"")</f>
        <v/>
      </c>
    </row>
    <row r="14" spans="1:15" x14ac:dyDescent="0.25">
      <c r="A14" s="3"/>
      <c r="B14" s="38" t="s">
        <v>98</v>
      </c>
      <c r="C14" s="52">
        <v>49</v>
      </c>
      <c r="D14" s="26"/>
      <c r="E14" s="2"/>
      <c r="F14" s="4"/>
      <c r="G14" s="3"/>
      <c r="H14" s="27"/>
      <c r="I14" s="4"/>
      <c r="J14" s="2"/>
      <c r="K14" s="8"/>
      <c r="L14" s="3"/>
      <c r="M14" s="3"/>
      <c r="N14" s="3"/>
      <c r="O14" t="str">
        <f>IF($N14="Manutenção",COUNTIF($N$3:$N14,"Manutenção"),"")</f>
        <v/>
      </c>
    </row>
    <row r="15" spans="1:15" x14ac:dyDescent="0.25">
      <c r="A15" s="3"/>
      <c r="B15" s="38" t="s">
        <v>76</v>
      </c>
      <c r="C15" s="52">
        <v>7</v>
      </c>
      <c r="D15" s="26"/>
      <c r="E15" s="2"/>
      <c r="F15" s="4"/>
      <c r="G15" s="3"/>
      <c r="H15" s="27"/>
      <c r="I15" s="4"/>
      <c r="J15" s="2"/>
      <c r="K15" s="8"/>
      <c r="L15" s="3"/>
      <c r="M15" s="3"/>
      <c r="N15" s="3"/>
      <c r="O15" t="str">
        <f>IF($N15="Manutenção",COUNTIF($N$3:$N15,"Manutenção"),"")</f>
        <v/>
      </c>
    </row>
    <row r="16" spans="1:15" x14ac:dyDescent="0.25">
      <c r="A16" s="3"/>
      <c r="B16" s="39" t="s">
        <v>99</v>
      </c>
      <c r="C16" s="53">
        <v>6</v>
      </c>
      <c r="D16" s="26"/>
      <c r="E16" s="2"/>
      <c r="F16" s="4"/>
      <c r="G16" s="3"/>
      <c r="H16" s="27"/>
      <c r="I16" s="4"/>
      <c r="J16" s="2"/>
      <c r="K16" s="8"/>
      <c r="L16" s="3"/>
      <c r="M16" s="3"/>
      <c r="N16" s="3"/>
      <c r="O16" t="str">
        <f>IF($N16="Manutenção",COUNTIF($N$3:$N16,"Manutenção"),"")</f>
        <v/>
      </c>
    </row>
    <row r="17" spans="1:15" x14ac:dyDescent="0.25">
      <c r="A17" s="3"/>
      <c r="B17" s="38" t="s">
        <v>100</v>
      </c>
      <c r="C17" s="52">
        <v>11</v>
      </c>
      <c r="D17" s="26"/>
      <c r="E17" s="2"/>
      <c r="F17" s="4"/>
      <c r="G17" s="3"/>
      <c r="H17" s="27"/>
      <c r="I17" s="4"/>
      <c r="J17" s="2"/>
      <c r="K17" s="8"/>
      <c r="L17" s="3"/>
      <c r="M17" s="3"/>
      <c r="N17" s="3"/>
      <c r="O17" t="str">
        <f>IF($N17="Manutenção",COUNTIF($N$3:$N17,"Manutenção"),"")</f>
        <v/>
      </c>
    </row>
    <row r="18" spans="1:15" x14ac:dyDescent="0.25">
      <c r="A18" s="3"/>
      <c r="B18" s="38" t="s">
        <v>101</v>
      </c>
      <c r="C18" s="52">
        <v>4</v>
      </c>
      <c r="D18" s="26"/>
      <c r="E18" s="2"/>
      <c r="F18" s="4"/>
      <c r="G18" s="3"/>
      <c r="H18" s="27"/>
      <c r="I18" s="4"/>
      <c r="J18" s="2"/>
      <c r="K18" s="8"/>
      <c r="L18" s="3"/>
      <c r="M18" s="3"/>
      <c r="N18" s="3"/>
      <c r="O18" t="str">
        <f>IF($N18="Manutenção",COUNTIF($N$3:$N18,"Manutenção"),"")</f>
        <v/>
      </c>
    </row>
    <row r="19" spans="1:15" x14ac:dyDescent="0.25">
      <c r="A19" s="3"/>
      <c r="B19" s="37" t="s">
        <v>102</v>
      </c>
      <c r="C19" s="52">
        <v>0</v>
      </c>
      <c r="D19" s="26"/>
      <c r="E19" s="2"/>
      <c r="F19" s="4"/>
      <c r="G19" s="3"/>
      <c r="H19" s="27"/>
      <c r="I19" s="4"/>
      <c r="J19" s="2"/>
      <c r="K19" s="8"/>
      <c r="L19" s="3"/>
      <c r="M19" s="3"/>
      <c r="N19" s="3"/>
      <c r="O19" t="str">
        <f>IF($N19="Manutenção",COUNTIF($N$3:$N19,"Manutenção"),"")</f>
        <v/>
      </c>
    </row>
    <row r="20" spans="1:15" x14ac:dyDescent="0.25">
      <c r="A20" s="3"/>
      <c r="B20" s="22" t="s">
        <v>77</v>
      </c>
      <c r="C20" s="52">
        <v>2</v>
      </c>
      <c r="D20" s="26"/>
      <c r="E20" s="2"/>
      <c r="F20" s="4"/>
      <c r="G20" s="3"/>
      <c r="H20" s="27"/>
      <c r="I20" s="4"/>
      <c r="J20" s="2"/>
      <c r="K20" s="8"/>
      <c r="L20" s="3"/>
      <c r="M20" s="3"/>
      <c r="N20" s="3"/>
      <c r="O20" t="str">
        <f>IF($N20="Manutenção",COUNTIF($N$3:$N20,"Manutenção"),"")</f>
        <v/>
      </c>
    </row>
    <row r="21" spans="1:15" x14ac:dyDescent="0.25">
      <c r="A21" s="3"/>
      <c r="B21" s="37" t="s">
        <v>103</v>
      </c>
      <c r="C21" s="52">
        <v>1</v>
      </c>
      <c r="D21" s="26"/>
      <c r="E21" s="2"/>
      <c r="F21" s="4"/>
      <c r="G21" s="3"/>
      <c r="H21" s="26"/>
      <c r="I21" s="4"/>
      <c r="J21" s="2"/>
      <c r="K21" s="8"/>
      <c r="L21" s="3"/>
      <c r="M21" s="3"/>
      <c r="N21" s="3"/>
      <c r="O21" t="str">
        <f>IF($N21="Manutenção",COUNTIF($N$3:$N21,"Manutenção"),"")</f>
        <v/>
      </c>
    </row>
    <row r="22" spans="1:15" x14ac:dyDescent="0.25">
      <c r="A22" s="3"/>
      <c r="B22" s="22" t="s">
        <v>78</v>
      </c>
      <c r="C22" s="50">
        <v>1</v>
      </c>
      <c r="D22" s="26"/>
      <c r="E22" s="2"/>
      <c r="F22" s="4"/>
      <c r="G22" s="3"/>
      <c r="H22" s="26"/>
      <c r="I22" s="4"/>
      <c r="J22" s="2"/>
      <c r="K22" s="8"/>
      <c r="L22" s="3"/>
      <c r="M22" s="3"/>
      <c r="N22" s="3"/>
      <c r="O22" t="str">
        <f>IF($N22="Manutenção",COUNTIF($N$3:$N22,"Manutenção"),"")</f>
        <v/>
      </c>
    </row>
    <row r="23" spans="1:15" x14ac:dyDescent="0.25">
      <c r="A23" s="3"/>
      <c r="B23" s="39" t="s">
        <v>106</v>
      </c>
      <c r="C23" s="50">
        <v>1</v>
      </c>
      <c r="D23" s="26"/>
      <c r="E23" s="2"/>
      <c r="F23" s="4"/>
      <c r="G23" s="3"/>
      <c r="H23" s="26"/>
      <c r="I23" s="4"/>
      <c r="J23" s="2"/>
      <c r="K23" s="8"/>
      <c r="L23" s="3"/>
      <c r="M23" s="3"/>
      <c r="N23" s="3"/>
      <c r="O23" t="str">
        <f>IF($N23="Manutenção",COUNTIF($N$3:$N23,"Manutenção"),"")</f>
        <v/>
      </c>
    </row>
    <row r="24" spans="1:15" x14ac:dyDescent="0.25">
      <c r="A24" s="3"/>
      <c r="B24" s="39" t="s">
        <v>107</v>
      </c>
      <c r="C24" s="52">
        <v>1</v>
      </c>
      <c r="D24" s="26"/>
      <c r="E24" s="2"/>
      <c r="F24" s="4"/>
      <c r="G24" s="3"/>
      <c r="H24" s="26"/>
      <c r="I24" s="4"/>
      <c r="J24" s="2"/>
      <c r="K24" s="8"/>
      <c r="L24" s="3"/>
      <c r="M24" s="3"/>
      <c r="N24" s="3"/>
      <c r="O24" t="str">
        <f>IF($N24="Manutenção",COUNTIF($N$3:$N24,"Manutenção"),"")</f>
        <v/>
      </c>
    </row>
    <row r="25" spans="1:15" x14ac:dyDescent="0.25">
      <c r="A25" s="3"/>
      <c r="B25" s="37" t="s">
        <v>79</v>
      </c>
      <c r="C25" s="52">
        <v>11</v>
      </c>
      <c r="D25" s="26"/>
      <c r="E25" s="2"/>
      <c r="F25" s="4"/>
      <c r="G25" s="3"/>
      <c r="H25" s="26"/>
      <c r="I25" s="4"/>
      <c r="J25" s="2"/>
      <c r="K25" s="8"/>
      <c r="L25" s="3"/>
      <c r="M25" s="3"/>
      <c r="N25" s="3"/>
      <c r="O25" t="str">
        <f>IF($N25="Manutenção",COUNTIF($N$3:$N25,"Manutenção"),"")</f>
        <v/>
      </c>
    </row>
    <row r="26" spans="1:15" x14ac:dyDescent="0.25">
      <c r="A26" s="3"/>
      <c r="B26" s="37" t="s">
        <v>80</v>
      </c>
      <c r="C26" s="52">
        <v>3</v>
      </c>
      <c r="D26" s="26"/>
      <c r="E26" s="2"/>
      <c r="F26" s="4"/>
      <c r="G26" s="3"/>
      <c r="H26" s="26"/>
      <c r="I26" s="4"/>
      <c r="J26" s="2"/>
      <c r="K26" s="8"/>
      <c r="L26" s="3"/>
      <c r="M26" s="3"/>
      <c r="N26" s="3"/>
      <c r="O26" t="str">
        <f>IF($N26="Manutenção",COUNTIF($N$3:$N26,"Manutenção"),"")</f>
        <v/>
      </c>
    </row>
    <row r="27" spans="1:15" x14ac:dyDescent="0.25">
      <c r="A27" s="3"/>
      <c r="B27" s="39" t="s">
        <v>108</v>
      </c>
      <c r="C27" s="53">
        <v>1</v>
      </c>
      <c r="D27" s="26"/>
      <c r="E27" s="2"/>
      <c r="F27" s="4"/>
      <c r="G27" s="3"/>
      <c r="H27" s="26"/>
      <c r="I27" s="4"/>
      <c r="J27" s="2"/>
      <c r="K27" s="8"/>
      <c r="L27" s="3"/>
      <c r="M27" s="3"/>
      <c r="N27" s="3"/>
      <c r="O27" t="str">
        <f>IF($N27="Manutenção",COUNTIF($N$3:$N27,"Manutenção"),"")</f>
        <v/>
      </c>
    </row>
    <row r="28" spans="1:15" x14ac:dyDescent="0.25">
      <c r="A28" s="3"/>
      <c r="B28" s="39" t="s">
        <v>109</v>
      </c>
      <c r="C28" s="53">
        <v>1</v>
      </c>
      <c r="D28" s="26"/>
      <c r="E28" s="2"/>
      <c r="F28" s="4"/>
      <c r="G28" s="3"/>
      <c r="H28" s="26"/>
      <c r="I28" s="4"/>
      <c r="J28" s="2"/>
      <c r="K28" s="8"/>
      <c r="L28" s="3"/>
      <c r="M28" s="3"/>
      <c r="N28" s="3"/>
      <c r="O28" t="str">
        <f>IF($N28="Manutenção",COUNTIF($N$3:$N28,"Manutenção"),"")</f>
        <v/>
      </c>
    </row>
    <row r="29" spans="1:15" x14ac:dyDescent="0.25">
      <c r="A29" s="3"/>
      <c r="B29" s="37" t="s">
        <v>110</v>
      </c>
      <c r="C29" s="52">
        <v>1</v>
      </c>
      <c r="D29" s="26"/>
      <c r="E29" s="2"/>
      <c r="F29" s="4"/>
      <c r="G29" s="3"/>
      <c r="H29" s="26"/>
      <c r="I29" s="4"/>
      <c r="J29" s="2"/>
      <c r="K29" s="8"/>
      <c r="L29" s="3"/>
      <c r="M29" s="3"/>
      <c r="N29" s="3"/>
      <c r="O29" t="str">
        <f>IF($N29="Manutenção",COUNTIF($N$3:$N29,"Manutenção"),"")</f>
        <v/>
      </c>
    </row>
    <row r="30" spans="1:15" x14ac:dyDescent="0.25">
      <c r="A30" s="3"/>
      <c r="B30" s="37" t="s">
        <v>81</v>
      </c>
      <c r="C30" s="52">
        <v>3</v>
      </c>
      <c r="D30" s="26"/>
      <c r="E30" s="2"/>
      <c r="F30" s="4"/>
      <c r="G30" s="3"/>
      <c r="H30" s="26"/>
      <c r="I30" s="4"/>
      <c r="J30" s="2"/>
      <c r="K30" s="8"/>
      <c r="L30" s="3"/>
      <c r="M30" s="3"/>
      <c r="N30" s="3"/>
      <c r="O30" t="str">
        <f>IF($N30="Manutenção",COUNTIF($N$3:$N30,"Manutenção"),"")</f>
        <v/>
      </c>
    </row>
    <row r="31" spans="1:15" x14ac:dyDescent="0.25">
      <c r="A31" s="3"/>
      <c r="B31" s="39" t="s">
        <v>111</v>
      </c>
      <c r="C31" s="50">
        <v>2</v>
      </c>
      <c r="D31" s="26"/>
      <c r="E31" s="2"/>
      <c r="F31" s="4"/>
      <c r="G31" s="3"/>
      <c r="H31" s="26"/>
      <c r="I31" s="4"/>
      <c r="J31" s="2"/>
      <c r="K31" s="8"/>
      <c r="L31" s="3"/>
      <c r="M31" s="3"/>
      <c r="N31" s="3"/>
      <c r="O31" t="str">
        <f>IF($N31="Manutenção",COUNTIF($N$3:$N31,"Manutenção"),"")</f>
        <v/>
      </c>
    </row>
    <row r="32" spans="1:15" x14ac:dyDescent="0.25">
      <c r="A32" s="3"/>
      <c r="B32" s="39" t="s">
        <v>112</v>
      </c>
      <c r="C32" s="50">
        <v>2</v>
      </c>
      <c r="D32" s="26"/>
      <c r="E32" s="2"/>
      <c r="F32" s="4"/>
      <c r="G32" s="3"/>
      <c r="H32" s="26"/>
      <c r="I32" s="4"/>
      <c r="J32" s="2"/>
      <c r="K32" s="8"/>
      <c r="L32" s="3"/>
      <c r="M32" s="3"/>
      <c r="N32" s="3"/>
      <c r="O32" t="str">
        <f>IF($N32="Manutenção",COUNTIF($N$3:$N32,"Manutenção"),"")</f>
        <v/>
      </c>
    </row>
    <row r="33" spans="1:15" x14ac:dyDescent="0.25">
      <c r="A33" s="3"/>
      <c r="B33" s="22" t="s">
        <v>113</v>
      </c>
      <c r="C33" s="52">
        <v>1</v>
      </c>
      <c r="D33" s="26"/>
      <c r="E33" s="2"/>
      <c r="F33" s="4"/>
      <c r="G33" s="3"/>
      <c r="H33" s="26"/>
      <c r="I33" s="4"/>
      <c r="J33" s="2"/>
      <c r="K33" s="8"/>
      <c r="L33" s="3"/>
      <c r="M33" s="3"/>
      <c r="N33" s="3"/>
      <c r="O33" t="str">
        <f>IF($N33="Manutenção",COUNTIF($N$3:$N33,"Manutenção"),"")</f>
        <v/>
      </c>
    </row>
    <row r="34" spans="1:15" x14ac:dyDescent="0.25">
      <c r="A34" s="3"/>
      <c r="B34" s="22" t="s">
        <v>114</v>
      </c>
      <c r="C34" s="53">
        <v>4</v>
      </c>
      <c r="D34" s="26"/>
      <c r="E34" s="2"/>
      <c r="F34" s="4"/>
      <c r="G34" s="3"/>
      <c r="H34" s="26"/>
      <c r="I34" s="4"/>
      <c r="J34" s="2"/>
      <c r="K34" s="8"/>
      <c r="L34" s="3"/>
      <c r="M34" s="3"/>
      <c r="N34" s="3"/>
      <c r="O34" t="str">
        <f>IF($N34="Manutenção",COUNTIF($N$3:$N34,"Manutenção"),"")</f>
        <v/>
      </c>
    </row>
    <row r="35" spans="1:15" x14ac:dyDescent="0.25">
      <c r="A35" s="3"/>
      <c r="B35" s="39" t="s">
        <v>115</v>
      </c>
      <c r="C35" s="50">
        <v>14</v>
      </c>
      <c r="D35" s="26"/>
      <c r="E35" s="2"/>
      <c r="F35" s="4"/>
      <c r="G35" s="3"/>
      <c r="H35" s="26"/>
      <c r="I35" s="4"/>
      <c r="J35" s="2"/>
      <c r="K35" s="8"/>
      <c r="L35" s="3"/>
      <c r="M35" s="3"/>
      <c r="N35" s="3"/>
      <c r="O35" t="str">
        <f>IF($N35="Manutenção",COUNTIF($N$3:$N35,"Manutenção"),"")</f>
        <v/>
      </c>
    </row>
    <row r="36" spans="1:15" x14ac:dyDescent="0.25">
      <c r="A36" s="3"/>
      <c r="B36" s="37" t="s">
        <v>116</v>
      </c>
      <c r="C36" s="52">
        <v>4</v>
      </c>
      <c r="D36" s="26"/>
      <c r="E36" s="2"/>
      <c r="F36" s="4"/>
      <c r="G36" s="3"/>
      <c r="H36" s="26"/>
      <c r="I36" s="4"/>
      <c r="J36" s="2"/>
      <c r="K36" s="8"/>
      <c r="L36" s="3"/>
      <c r="M36" s="3"/>
      <c r="N36" s="3"/>
      <c r="O36" t="str">
        <f>IF($N36="Manutenção",COUNTIF($N$3:$N36,"Manutenção"),"")</f>
        <v/>
      </c>
    </row>
    <row r="37" spans="1:15" x14ac:dyDescent="0.25">
      <c r="A37" s="3"/>
      <c r="B37" s="37" t="s">
        <v>117</v>
      </c>
      <c r="C37" s="52">
        <v>3</v>
      </c>
      <c r="D37" s="26"/>
      <c r="E37" s="2"/>
      <c r="F37" s="4"/>
      <c r="G37" s="3"/>
      <c r="H37" s="26"/>
      <c r="I37" s="4"/>
      <c r="J37" s="2"/>
      <c r="K37" s="8"/>
      <c r="L37" s="3"/>
      <c r="M37" s="3"/>
      <c r="N37" s="3"/>
      <c r="O37" t="str">
        <f>IF($N37="Manutenção",COUNTIF($N$3:$N37,"Manutenção"),"")</f>
        <v/>
      </c>
    </row>
    <row r="38" spans="1:15" x14ac:dyDescent="0.25">
      <c r="A38" s="3"/>
      <c r="B38" s="22" t="s">
        <v>82</v>
      </c>
      <c r="C38" s="50">
        <v>1</v>
      </c>
      <c r="D38" s="26"/>
      <c r="E38" s="2"/>
      <c r="F38" s="4"/>
      <c r="G38" s="3"/>
      <c r="H38" s="26"/>
      <c r="I38" s="4"/>
      <c r="J38" s="2"/>
      <c r="K38" s="8"/>
      <c r="L38" s="3"/>
      <c r="M38" s="3"/>
      <c r="N38" s="3"/>
      <c r="O38" t="str">
        <f>IF($N38="Manutenção",COUNTIF($N$3:$N38,"Manutenção"),"")</f>
        <v/>
      </c>
    </row>
    <row r="39" spans="1:15" x14ac:dyDescent="0.25">
      <c r="A39" s="3"/>
      <c r="B39" s="39" t="s">
        <v>118</v>
      </c>
      <c r="C39" s="50">
        <v>2</v>
      </c>
      <c r="D39" s="26"/>
      <c r="E39" s="2"/>
      <c r="F39" s="4"/>
      <c r="G39" s="3"/>
      <c r="H39" s="26"/>
      <c r="I39" s="4"/>
      <c r="J39" s="2"/>
      <c r="K39" s="8"/>
      <c r="L39" s="3"/>
      <c r="M39" s="3"/>
      <c r="N39" s="3"/>
      <c r="O39" t="str">
        <f>IF($N39="Manutenção",COUNTIF($N$3:$N39,"Manutenção"),"")</f>
        <v/>
      </c>
    </row>
    <row r="40" spans="1:15" x14ac:dyDescent="0.25">
      <c r="A40" s="3"/>
      <c r="B40" s="39" t="s">
        <v>119</v>
      </c>
      <c r="C40" s="50">
        <v>3</v>
      </c>
      <c r="D40" s="26"/>
      <c r="E40" s="2"/>
      <c r="F40" s="4"/>
      <c r="G40" s="3"/>
      <c r="H40" s="26"/>
      <c r="I40" s="4"/>
      <c r="J40" s="2"/>
      <c r="K40" s="8"/>
      <c r="L40" s="3"/>
      <c r="M40" s="3"/>
      <c r="N40" s="3"/>
      <c r="O40" t="str">
        <f>IF($N40="Manutenção",COUNTIF($N$3:$N40,"Manutenção"),"")</f>
        <v/>
      </c>
    </row>
    <row r="41" spans="1:15" x14ac:dyDescent="0.25">
      <c r="A41" s="3"/>
      <c r="B41" s="39" t="s">
        <v>120</v>
      </c>
      <c r="C41" s="50">
        <v>1</v>
      </c>
      <c r="D41" s="26"/>
      <c r="E41" s="2"/>
      <c r="F41" s="4"/>
      <c r="G41" s="3"/>
      <c r="H41" s="26"/>
      <c r="I41" s="4"/>
      <c r="J41" s="2"/>
      <c r="K41" s="8"/>
      <c r="L41" s="3"/>
      <c r="M41" s="3"/>
      <c r="N41" s="3"/>
      <c r="O41" t="str">
        <f>IF($N41="Manutenção",COUNTIF($N$3:$N41,"Manutenção"),"")</f>
        <v/>
      </c>
    </row>
    <row r="42" spans="1:15" x14ac:dyDescent="0.25">
      <c r="A42" s="3"/>
      <c r="B42" s="37" t="s">
        <v>87</v>
      </c>
      <c r="C42" s="52">
        <v>4</v>
      </c>
      <c r="D42" s="26"/>
      <c r="E42" s="2"/>
      <c r="F42" s="4"/>
      <c r="G42" s="3"/>
      <c r="H42" s="26"/>
      <c r="I42" s="4"/>
      <c r="J42" s="2"/>
      <c r="K42" s="8"/>
      <c r="L42" s="3"/>
      <c r="M42" s="3"/>
      <c r="N42" s="3"/>
      <c r="O42" t="str">
        <f>IF($N42="Manutenção",COUNTIF($N$3:$N42,"Manutenção"),"")</f>
        <v/>
      </c>
    </row>
    <row r="43" spans="1:15" x14ac:dyDescent="0.25">
      <c r="A43" s="3"/>
      <c r="B43" s="37" t="s">
        <v>88</v>
      </c>
      <c r="C43" s="52">
        <v>4</v>
      </c>
      <c r="D43" s="26"/>
      <c r="E43" s="2"/>
      <c r="F43" s="4"/>
      <c r="G43" s="3"/>
      <c r="H43" s="26"/>
      <c r="I43" s="4"/>
      <c r="J43" s="2"/>
      <c r="K43" s="8"/>
      <c r="L43" s="3"/>
      <c r="M43" s="3"/>
      <c r="N43" s="3"/>
      <c r="O43" t="str">
        <f>IF($N43="Manutenção",COUNTIF($N$3:$N43,"Manutenção"),"")</f>
        <v/>
      </c>
    </row>
    <row r="44" spans="1:15" x14ac:dyDescent="0.25">
      <c r="A44" s="3"/>
      <c r="B44" s="38" t="s">
        <v>121</v>
      </c>
      <c r="C44" s="52">
        <v>8</v>
      </c>
      <c r="D44" s="26"/>
      <c r="E44" s="2"/>
      <c r="F44" s="4"/>
      <c r="G44" s="3"/>
      <c r="H44" s="26"/>
      <c r="I44" s="4"/>
      <c r="J44" s="2"/>
      <c r="K44" s="8"/>
      <c r="L44" s="3"/>
      <c r="M44" s="3"/>
      <c r="N44" s="3"/>
      <c r="O44" t="str">
        <f>IF($N44="Manutenção",COUNTIF($N$3:$N44,"Manutenção"),"")</f>
        <v/>
      </c>
    </row>
    <row r="45" spans="1:15" x14ac:dyDescent="0.25">
      <c r="A45" s="3"/>
      <c r="B45" s="37" t="s">
        <v>122</v>
      </c>
      <c r="C45" s="52">
        <v>4</v>
      </c>
      <c r="D45" s="26"/>
      <c r="E45" s="2"/>
      <c r="F45" s="4"/>
      <c r="G45" s="3"/>
      <c r="H45" s="26"/>
      <c r="I45" s="4"/>
      <c r="J45" s="2"/>
      <c r="K45" s="8"/>
      <c r="L45" s="3"/>
      <c r="M45" s="3"/>
      <c r="N45" s="3"/>
      <c r="O45" t="str">
        <f>IF($N45="Manutenção",COUNTIF($N$3:$N45,"Manutenção"),"")</f>
        <v/>
      </c>
    </row>
    <row r="46" spans="1:15" x14ac:dyDescent="0.25">
      <c r="A46" s="3"/>
      <c r="B46" s="39" t="s">
        <v>123</v>
      </c>
      <c r="C46" s="52">
        <v>3</v>
      </c>
      <c r="D46" s="26"/>
      <c r="E46" s="2"/>
      <c r="F46" s="4"/>
      <c r="G46" s="3"/>
      <c r="H46" s="26"/>
      <c r="I46" s="4"/>
      <c r="J46" s="2"/>
      <c r="K46" s="8"/>
      <c r="L46" s="3"/>
      <c r="M46" s="3"/>
      <c r="N46" s="3"/>
      <c r="O46" t="str">
        <f>IF($N46="Manutenção",COUNTIF($N$3:$N46,"Manutenção"),"")</f>
        <v/>
      </c>
    </row>
    <row r="47" spans="1:15" x14ac:dyDescent="0.25">
      <c r="A47" s="3"/>
      <c r="B47" s="38" t="s">
        <v>124</v>
      </c>
      <c r="C47" s="52">
        <v>1</v>
      </c>
      <c r="D47" s="26"/>
      <c r="E47" s="2"/>
      <c r="F47" s="4"/>
      <c r="G47" s="3"/>
      <c r="H47" s="26"/>
      <c r="I47" s="4"/>
      <c r="J47" s="2"/>
      <c r="K47" s="8"/>
      <c r="L47" s="3"/>
      <c r="M47" s="3"/>
      <c r="N47" s="3"/>
      <c r="O47" t="str">
        <f>IF($N47="Manutenção",COUNTIF($N$3:$N47,"Manutenção"),"")</f>
        <v/>
      </c>
    </row>
    <row r="48" spans="1:15" x14ac:dyDescent="0.25">
      <c r="A48" s="3"/>
      <c r="B48" s="37" t="s">
        <v>125</v>
      </c>
      <c r="C48" s="52">
        <v>13</v>
      </c>
      <c r="D48" s="26"/>
      <c r="E48" s="2"/>
      <c r="F48" s="4"/>
      <c r="G48" s="3"/>
      <c r="H48" s="26"/>
      <c r="I48" s="4"/>
      <c r="J48" s="2"/>
      <c r="K48" s="8"/>
      <c r="L48" s="3"/>
      <c r="M48" s="3"/>
      <c r="N48" s="3"/>
      <c r="O48" t="str">
        <f>IF($N48="Manutenção",COUNTIF($N$3:$N48,"Manutenção"),"")</f>
        <v/>
      </c>
    </row>
    <row r="49" spans="1:15" x14ac:dyDescent="0.25">
      <c r="A49" s="3"/>
      <c r="B49" s="22" t="s">
        <v>86</v>
      </c>
      <c r="C49" s="50">
        <v>1</v>
      </c>
      <c r="D49" s="26"/>
      <c r="E49" s="2"/>
      <c r="F49" s="4"/>
      <c r="G49" s="3"/>
      <c r="H49" s="26"/>
      <c r="I49" s="4"/>
      <c r="J49" s="2"/>
      <c r="K49" s="8"/>
      <c r="L49" s="3"/>
      <c r="M49" s="3"/>
      <c r="N49" s="3"/>
      <c r="O49" t="str">
        <f>IF($N49="Manutenção",COUNTIF($N$3:$N49,"Manutenção"),"")</f>
        <v/>
      </c>
    </row>
    <row r="50" spans="1:15" x14ac:dyDescent="0.25">
      <c r="A50" s="3"/>
      <c r="B50" s="37" t="s">
        <v>126</v>
      </c>
      <c r="C50" s="52">
        <v>1</v>
      </c>
      <c r="D50" s="26"/>
      <c r="E50" s="2"/>
      <c r="F50" s="4"/>
      <c r="G50" s="3"/>
      <c r="H50" s="26"/>
      <c r="I50" s="4"/>
      <c r="J50" s="2"/>
      <c r="K50" s="8"/>
      <c r="L50" s="3"/>
      <c r="M50" s="3"/>
      <c r="N50" s="3"/>
      <c r="O50" t="str">
        <f>IF($N50="Manutenção",COUNTIF($N$3:$N50,"Manutenção"),"")</f>
        <v/>
      </c>
    </row>
    <row r="51" spans="1:15" x14ac:dyDescent="0.25">
      <c r="A51" s="3"/>
      <c r="B51" s="23"/>
      <c r="C51" s="29"/>
      <c r="D51" s="3"/>
      <c r="E51" s="2"/>
      <c r="F51" s="4"/>
      <c r="G51" s="3"/>
      <c r="H51" s="3"/>
      <c r="I51" s="4"/>
      <c r="J51" s="2"/>
      <c r="K51" s="8"/>
      <c r="L51" s="3"/>
      <c r="M51" s="3"/>
      <c r="N51" s="3"/>
      <c r="O51" t="str">
        <f>IF($N51="Manutenção",COUNTIF($N$3:$N51,"Manutenção"),"")</f>
        <v/>
      </c>
    </row>
    <row r="52" spans="1:15" x14ac:dyDescent="0.25">
      <c r="A52" s="3"/>
      <c r="B52" s="23"/>
      <c r="C52" s="29"/>
      <c r="D52" s="3"/>
      <c r="E52" s="2"/>
      <c r="F52" s="4"/>
      <c r="G52" s="3"/>
      <c r="H52" s="3"/>
      <c r="I52" s="4"/>
      <c r="J52" s="2"/>
      <c r="K52" s="8"/>
      <c r="L52" s="3"/>
      <c r="M52" s="3"/>
      <c r="N52" s="3"/>
      <c r="O52" t="str">
        <f>IF($N52="Manutenção",COUNTIF($N$3:$N52,"Manutenção"),"")</f>
        <v/>
      </c>
    </row>
    <row r="53" spans="1:15" x14ac:dyDescent="0.25">
      <c r="A53" s="3"/>
      <c r="B53" s="28" t="s">
        <v>157</v>
      </c>
      <c r="C53" s="29"/>
      <c r="D53" s="3"/>
      <c r="E53" s="2"/>
      <c r="F53" s="4"/>
      <c r="G53" s="3"/>
      <c r="H53" s="3"/>
      <c r="I53" s="4"/>
      <c r="J53" s="2"/>
      <c r="K53" s="8"/>
      <c r="L53" s="3"/>
      <c r="M53" s="3"/>
      <c r="N53" s="3"/>
    </row>
    <row r="54" spans="1:15" x14ac:dyDescent="0.25">
      <c r="A54" s="3"/>
      <c r="B54" s="23"/>
      <c r="C54" s="29"/>
      <c r="D54" s="3"/>
      <c r="E54" s="2"/>
      <c r="F54" s="4"/>
      <c r="G54" s="3"/>
      <c r="H54" s="3"/>
      <c r="I54" s="4"/>
      <c r="J54" s="2"/>
      <c r="K54" s="8"/>
      <c r="L54" s="3"/>
      <c r="M54" s="3"/>
      <c r="N54" s="3"/>
      <c r="O54" t="str">
        <f>IF($N54="Manutenção",COUNTIF($N$3:$N54,"Manutenção"),"")</f>
        <v/>
      </c>
    </row>
    <row r="55" spans="1:15" x14ac:dyDescent="0.25">
      <c r="A55" s="3"/>
      <c r="B55" s="30" t="s">
        <v>130</v>
      </c>
      <c r="C55" s="31"/>
      <c r="D55" s="3"/>
      <c r="E55" s="2"/>
      <c r="F55" s="4"/>
      <c r="G55" s="3"/>
      <c r="H55" s="3"/>
      <c r="I55" s="4"/>
      <c r="J55" s="2"/>
      <c r="K55" s="8"/>
      <c r="L55" s="3"/>
      <c r="M55" s="3"/>
      <c r="N55" s="3"/>
      <c r="O55" t="str">
        <f>IF($N55="Manutenção",COUNTIF($N$3:$N55,"Manutenção"),"")</f>
        <v/>
      </c>
    </row>
    <row r="56" spans="1:15" x14ac:dyDescent="0.25">
      <c r="A56" s="3"/>
      <c r="B56" s="54" t="s">
        <v>131</v>
      </c>
      <c r="C56" s="55"/>
      <c r="D56" s="3"/>
      <c r="E56" s="2"/>
      <c r="F56" s="4"/>
      <c r="G56" s="3"/>
      <c r="H56" s="3"/>
      <c r="I56" s="4"/>
      <c r="J56" s="2"/>
      <c r="K56" s="8"/>
      <c r="L56" s="3"/>
      <c r="M56" s="3"/>
      <c r="N56" s="3"/>
      <c r="O56" t="str">
        <f>IF($N56="Manutenção",COUNTIF($N$3:$N56,"Manutenção"),"")</f>
        <v/>
      </c>
    </row>
    <row r="57" spans="1:15" x14ac:dyDescent="0.25">
      <c r="A57" s="3"/>
      <c r="B57" s="54" t="s">
        <v>69</v>
      </c>
      <c r="C57" s="55"/>
      <c r="D57" s="3"/>
      <c r="E57" s="2"/>
      <c r="F57" s="4"/>
      <c r="G57" s="3"/>
      <c r="H57" s="3"/>
      <c r="I57" s="4"/>
      <c r="J57" s="2"/>
      <c r="K57" s="8"/>
      <c r="L57" s="3"/>
      <c r="M57" s="3"/>
      <c r="N57" s="3"/>
      <c r="O57" t="str">
        <f>IF($N57="Manutenção",COUNTIF($N$3:$N57,"Manutenção"),"")</f>
        <v/>
      </c>
    </row>
    <row r="58" spans="1:15" x14ac:dyDescent="0.25">
      <c r="A58" s="3"/>
      <c r="B58" s="33" t="s">
        <v>132</v>
      </c>
      <c r="C58" s="34"/>
      <c r="D58" s="3"/>
      <c r="E58" s="2"/>
      <c r="F58" s="4"/>
      <c r="G58" s="3"/>
      <c r="H58" s="3"/>
      <c r="I58" s="4"/>
      <c r="J58" s="2"/>
      <c r="K58" s="8"/>
      <c r="L58" s="3"/>
      <c r="M58" s="3"/>
      <c r="N58" s="3"/>
      <c r="O58" t="str">
        <f>IF($N58="Manutenção",COUNTIF($N$3:$N58,"Manutenção"),"")</f>
        <v/>
      </c>
    </row>
    <row r="59" spans="1:15" x14ac:dyDescent="0.25">
      <c r="A59" s="3"/>
      <c r="B59" s="33" t="s">
        <v>70</v>
      </c>
      <c r="C59" s="34"/>
      <c r="D59" s="3"/>
      <c r="E59" s="2"/>
      <c r="F59" s="4"/>
      <c r="G59" s="3"/>
      <c r="H59" s="3"/>
      <c r="I59" s="4"/>
      <c r="J59" s="2"/>
      <c r="K59" s="8"/>
      <c r="L59" s="3"/>
      <c r="M59" s="3"/>
      <c r="N59" s="3"/>
      <c r="O59" t="str">
        <f>IF($N59="Manutenção",COUNTIF($N$3:$N59,"Manutenção"),"")</f>
        <v/>
      </c>
    </row>
    <row r="60" spans="1:15" x14ac:dyDescent="0.25">
      <c r="A60" s="3"/>
      <c r="B60" s="33" t="s">
        <v>133</v>
      </c>
      <c r="C60" s="34"/>
      <c r="D60" s="3"/>
      <c r="E60" s="2"/>
      <c r="F60" s="4"/>
      <c r="G60" s="3"/>
      <c r="H60" s="3"/>
      <c r="I60" s="4"/>
      <c r="J60" s="2"/>
      <c r="K60" s="8"/>
      <c r="L60" s="3"/>
      <c r="M60" s="3"/>
      <c r="N60" s="3"/>
      <c r="O60" t="str">
        <f>IF($N60="Manutenção",COUNTIF($N$3:$N60,"Manutenção"),"")</f>
        <v/>
      </c>
    </row>
    <row r="61" spans="1:15" x14ac:dyDescent="0.25">
      <c r="A61" s="3"/>
      <c r="B61" s="33" t="s">
        <v>134</v>
      </c>
      <c r="C61" s="34"/>
      <c r="D61" s="3"/>
      <c r="E61" s="2"/>
      <c r="F61" s="4"/>
      <c r="G61" s="3"/>
      <c r="H61" s="3"/>
      <c r="I61" s="4"/>
      <c r="J61" s="2"/>
      <c r="K61" s="8"/>
      <c r="L61" s="3"/>
      <c r="M61" s="3"/>
      <c r="N61" s="3"/>
      <c r="O61" t="str">
        <f>IF($N61="Manutenção",COUNTIF($N$3:$N61,"Manutenção"),"")</f>
        <v/>
      </c>
    </row>
    <row r="62" spans="1:15" x14ac:dyDescent="0.25">
      <c r="A62" s="3"/>
      <c r="B62" s="33" t="s">
        <v>71</v>
      </c>
      <c r="C62" s="34"/>
      <c r="D62" s="3"/>
      <c r="E62" s="2"/>
      <c r="F62" s="4"/>
      <c r="G62" s="3"/>
      <c r="H62" s="3"/>
      <c r="I62" s="4"/>
      <c r="J62" s="2"/>
      <c r="K62" s="8"/>
      <c r="L62" s="3"/>
      <c r="M62" s="3"/>
      <c r="N62" s="3"/>
      <c r="O62" t="str">
        <f>IF($N62="Manutenção",COUNTIF($N$3:$N62,"Manutenção"),"")</f>
        <v/>
      </c>
    </row>
    <row r="63" spans="1:15" x14ac:dyDescent="0.25">
      <c r="A63" s="3"/>
      <c r="B63" s="33" t="s">
        <v>72</v>
      </c>
      <c r="C63" s="34"/>
      <c r="D63" s="3"/>
      <c r="E63" s="2"/>
      <c r="F63" s="4"/>
      <c r="G63" s="3"/>
      <c r="H63" s="3"/>
      <c r="I63" s="4"/>
      <c r="J63" s="2"/>
      <c r="K63" s="8"/>
      <c r="L63" s="3"/>
      <c r="M63" s="3"/>
      <c r="N63" s="3"/>
      <c r="O63" t="str">
        <f>IF($N63="Manutenção",COUNTIF($N$3:$N63,"Manutenção"),"")</f>
        <v/>
      </c>
    </row>
    <row r="64" spans="1:15" x14ac:dyDescent="0.25">
      <c r="A64" s="3"/>
      <c r="B64" s="54" t="s">
        <v>135</v>
      </c>
      <c r="C64" s="55"/>
      <c r="D64" s="3"/>
      <c r="E64" s="2"/>
      <c r="F64" s="4"/>
      <c r="G64" s="3"/>
      <c r="H64" s="3"/>
      <c r="I64" s="4"/>
      <c r="J64" s="2"/>
      <c r="K64" s="8"/>
      <c r="L64" s="3"/>
      <c r="M64" s="3"/>
      <c r="N64" s="3"/>
      <c r="O64" t="str">
        <f>IF($N64="Manutenção",COUNTIF($N$3:$N64,"Manutenção"),"")</f>
        <v/>
      </c>
    </row>
    <row r="65" spans="1:15" x14ac:dyDescent="0.25">
      <c r="A65" s="3"/>
      <c r="B65" s="54" t="s">
        <v>136</v>
      </c>
      <c r="C65" s="55"/>
      <c r="D65" s="3"/>
      <c r="E65" s="2"/>
      <c r="F65" s="4"/>
      <c r="G65" s="3"/>
      <c r="H65" s="3"/>
      <c r="I65" s="4"/>
      <c r="J65" s="2"/>
      <c r="K65" s="8"/>
      <c r="L65" s="3"/>
      <c r="M65" s="3"/>
      <c r="N65" s="3"/>
      <c r="O65" t="str">
        <f>IF($N65="Manutenção",COUNTIF($N$3:$N65,"Manutenção"),"")</f>
        <v/>
      </c>
    </row>
    <row r="66" spans="1:15" x14ac:dyDescent="0.25">
      <c r="A66" s="3"/>
      <c r="B66" s="35" t="s">
        <v>94</v>
      </c>
      <c r="C66" s="36"/>
      <c r="D66" s="3"/>
      <c r="E66" s="2"/>
      <c r="F66" s="4"/>
      <c r="G66" s="3"/>
      <c r="H66" s="3"/>
      <c r="I66" s="4"/>
      <c r="J66" s="2"/>
      <c r="K66" s="8"/>
      <c r="L66" s="3"/>
      <c r="M66" s="3"/>
      <c r="N66" s="3"/>
      <c r="O66" t="str">
        <f>IF($N66="Manutenção",COUNTIF($N$3:$N66,"Manutenção"),"")</f>
        <v/>
      </c>
    </row>
    <row r="67" spans="1:15" x14ac:dyDescent="0.25">
      <c r="A67" s="3"/>
      <c r="B67" s="54" t="s">
        <v>95</v>
      </c>
      <c r="C67" s="55"/>
      <c r="D67" s="3"/>
      <c r="E67" s="2"/>
      <c r="F67" s="4"/>
      <c r="G67" s="3"/>
      <c r="H67" s="3"/>
      <c r="I67" s="4"/>
      <c r="J67" s="2"/>
      <c r="K67" s="8"/>
      <c r="L67" s="3"/>
      <c r="M67" s="3"/>
      <c r="N67" s="3"/>
      <c r="O67" t="str">
        <f>IF($N67="Manutenção",COUNTIF($N$3:$N67,"Manutenção"),"")</f>
        <v/>
      </c>
    </row>
    <row r="68" spans="1:15" x14ac:dyDescent="0.25">
      <c r="A68" s="3"/>
      <c r="B68" s="30" t="s">
        <v>73</v>
      </c>
      <c r="C68" s="32"/>
      <c r="D68" s="3"/>
      <c r="E68" s="2"/>
      <c r="F68" s="4"/>
      <c r="G68" s="3"/>
      <c r="H68" s="3"/>
      <c r="I68" s="4"/>
      <c r="J68" s="2"/>
      <c r="K68" s="8"/>
      <c r="L68" s="3"/>
      <c r="M68" s="3"/>
      <c r="N68" s="3"/>
      <c r="O68" t="str">
        <f>IF($N68="Manutenção",COUNTIF($N$3:$N68,"Manutenção"),"")</f>
        <v/>
      </c>
    </row>
    <row r="69" spans="1:15" x14ac:dyDescent="0.25">
      <c r="A69" s="3"/>
      <c r="B69" s="33" t="s">
        <v>98</v>
      </c>
      <c r="C69" s="34"/>
      <c r="D69" s="3"/>
      <c r="E69" s="2"/>
      <c r="F69" s="4"/>
      <c r="G69" s="3"/>
      <c r="H69" s="3"/>
      <c r="I69" s="4"/>
      <c r="J69" s="2"/>
      <c r="K69" s="8"/>
      <c r="L69" s="3"/>
      <c r="M69" s="3"/>
      <c r="N69" s="3"/>
      <c r="O69" t="str">
        <f>IF($N69="Manutenção",COUNTIF($N$3:$N69,"Manutenção"),"")</f>
        <v/>
      </c>
    </row>
    <row r="70" spans="1:15" x14ac:dyDescent="0.25">
      <c r="A70" s="3"/>
      <c r="B70" s="54" t="s">
        <v>76</v>
      </c>
      <c r="C70" s="55"/>
      <c r="D70" s="3"/>
      <c r="E70" s="2"/>
      <c r="F70" s="4"/>
      <c r="G70" s="3"/>
      <c r="H70" s="3"/>
      <c r="I70" s="4"/>
      <c r="J70" s="2"/>
      <c r="K70" s="8"/>
      <c r="L70" s="3"/>
      <c r="M70" s="3"/>
      <c r="N70" s="3"/>
      <c r="O70" t="str">
        <f>IF($N70="Manutenção",COUNTIF($N$3:$N70,"Manutenção"),"")</f>
        <v/>
      </c>
    </row>
    <row r="71" spans="1:15" x14ac:dyDescent="0.25">
      <c r="A71" s="3"/>
      <c r="B71" s="54" t="s">
        <v>137</v>
      </c>
      <c r="C71" s="55"/>
      <c r="D71" s="3"/>
      <c r="E71" s="2"/>
      <c r="F71" s="4"/>
      <c r="G71" s="3"/>
      <c r="H71" s="3"/>
      <c r="I71" s="4"/>
      <c r="J71" s="2"/>
      <c r="K71" s="8"/>
      <c r="L71" s="3"/>
      <c r="M71" s="3"/>
      <c r="N71" s="3"/>
      <c r="O71" t="str">
        <f>IF($N71="Manutenção",COUNTIF($N$3:$N71,"Manutenção"),"")</f>
        <v/>
      </c>
    </row>
    <row r="72" spans="1:15" x14ac:dyDescent="0.25">
      <c r="A72" s="3"/>
      <c r="B72" s="54" t="s">
        <v>138</v>
      </c>
      <c r="C72" s="59"/>
      <c r="D72" s="3"/>
      <c r="E72" s="2"/>
      <c r="F72" s="4"/>
      <c r="G72" s="3"/>
      <c r="H72" s="3"/>
      <c r="I72" s="4"/>
      <c r="J72" s="2"/>
      <c r="K72" s="8"/>
      <c r="L72" s="3"/>
      <c r="M72" s="3"/>
      <c r="N72" s="3"/>
      <c r="O72" t="str">
        <f>IF($N72="Manutenção",COUNTIF($N$3:$N72,"Manutenção"),"")</f>
        <v/>
      </c>
    </row>
    <row r="73" spans="1:15" x14ac:dyDescent="0.25">
      <c r="A73" s="3"/>
      <c r="B73" s="54" t="s">
        <v>139</v>
      </c>
      <c r="C73" s="55"/>
      <c r="D73" s="3"/>
      <c r="E73" s="2"/>
      <c r="F73" s="4"/>
      <c r="G73" s="3"/>
      <c r="H73" s="3"/>
      <c r="I73" s="4"/>
      <c r="J73" s="2"/>
      <c r="K73" s="8"/>
      <c r="L73" s="3"/>
      <c r="M73" s="3"/>
      <c r="N73" s="3"/>
      <c r="O73" t="str">
        <f>IF($N73="Manutenção",COUNTIF($N$3:$N73,"Manutenção"),"")</f>
        <v/>
      </c>
    </row>
    <row r="74" spans="1:15" x14ac:dyDescent="0.25">
      <c r="A74" s="3"/>
      <c r="B74" s="54" t="s">
        <v>140</v>
      </c>
      <c r="C74" s="55"/>
      <c r="D74" s="3"/>
      <c r="E74" s="2"/>
      <c r="F74" s="4"/>
      <c r="G74" s="3"/>
      <c r="H74" s="3"/>
      <c r="I74" s="4"/>
      <c r="J74" s="2"/>
      <c r="K74" s="8"/>
      <c r="L74" s="3"/>
      <c r="M74" s="3"/>
      <c r="N74" s="3"/>
      <c r="O74" t="str">
        <f>IF($N74="Manutenção",COUNTIF($N$3:$N74,"Manutenção"),"")</f>
        <v/>
      </c>
    </row>
    <row r="75" spans="1:15" x14ac:dyDescent="0.25">
      <c r="A75" s="3"/>
      <c r="B75" s="54" t="s">
        <v>141</v>
      </c>
      <c r="C75" s="55"/>
      <c r="D75" s="3"/>
      <c r="E75" s="2"/>
      <c r="F75" s="4"/>
      <c r="G75" s="3"/>
      <c r="H75" s="3"/>
      <c r="I75" s="4"/>
      <c r="J75" s="2"/>
      <c r="K75" s="8"/>
      <c r="L75" s="3"/>
      <c r="M75" s="3"/>
      <c r="N75" s="3"/>
      <c r="O75" t="str">
        <f>IF($N75="Manutenção",COUNTIF($N$3:$N75,"Manutenção"),"")</f>
        <v/>
      </c>
    </row>
    <row r="76" spans="1:15" x14ac:dyDescent="0.25">
      <c r="A76" s="3"/>
      <c r="B76" s="30" t="s">
        <v>142</v>
      </c>
      <c r="C76" s="32"/>
      <c r="D76" s="3"/>
      <c r="E76" s="2"/>
      <c r="F76" s="4"/>
      <c r="G76" s="3"/>
      <c r="H76" s="3"/>
      <c r="I76" s="4"/>
      <c r="J76" s="2"/>
      <c r="K76" s="8"/>
      <c r="L76" s="3"/>
      <c r="M76" s="3"/>
      <c r="N76" s="3"/>
      <c r="O76" t="str">
        <f>IF($N76="Manutenção",COUNTIF($N$3:$N76,"Manutenção"),"")</f>
        <v/>
      </c>
    </row>
    <row r="77" spans="1:15" x14ac:dyDescent="0.25">
      <c r="A77" s="3"/>
      <c r="B77" s="54" t="s">
        <v>143</v>
      </c>
      <c r="C77" s="55"/>
      <c r="D77" s="3"/>
      <c r="E77" s="2"/>
      <c r="F77" s="4"/>
      <c r="G77" s="3"/>
      <c r="H77" s="3"/>
      <c r="I77" s="4"/>
      <c r="J77" s="2"/>
      <c r="K77" s="8"/>
      <c r="L77" s="3"/>
      <c r="M77" s="3"/>
      <c r="N77" s="3"/>
      <c r="O77" t="str">
        <f>IF($N77="Manutenção",COUNTIF($N$3:$N77,"Manutenção"),"")</f>
        <v/>
      </c>
    </row>
    <row r="78" spans="1:15" x14ac:dyDescent="0.25">
      <c r="A78" s="3"/>
      <c r="B78" s="54" t="s">
        <v>144</v>
      </c>
      <c r="C78" s="55"/>
      <c r="D78" s="3"/>
      <c r="E78" s="2"/>
      <c r="F78" s="4"/>
      <c r="G78" s="3"/>
      <c r="H78" s="3"/>
      <c r="I78" s="4"/>
      <c r="J78" s="2"/>
      <c r="K78" s="8"/>
      <c r="L78" s="3"/>
      <c r="M78" s="3"/>
      <c r="N78" s="3"/>
      <c r="O78" t="str">
        <f>IF($N78="Manutenção",COUNTIF($N$3:$N78,"Manutenção"),"")</f>
        <v/>
      </c>
    </row>
    <row r="79" spans="1:15" x14ac:dyDescent="0.25">
      <c r="A79" s="3"/>
      <c r="B79" s="54" t="s">
        <v>145</v>
      </c>
      <c r="C79" s="55"/>
      <c r="D79" s="3"/>
      <c r="E79" s="2"/>
      <c r="F79" s="4"/>
      <c r="G79" s="3"/>
      <c r="H79" s="3"/>
      <c r="I79" s="4"/>
      <c r="J79" s="2"/>
      <c r="K79" s="8"/>
      <c r="L79" s="3"/>
      <c r="M79" s="3"/>
      <c r="N79" s="3"/>
      <c r="O79" t="str">
        <f>IF($N79="Manutenção",COUNTIF($N$3:$N79,"Manutenção"),"")</f>
        <v/>
      </c>
    </row>
    <row r="80" spans="1:15" x14ac:dyDescent="0.25">
      <c r="A80" s="3"/>
      <c r="B80" s="33" t="s">
        <v>146</v>
      </c>
      <c r="C80" s="34"/>
      <c r="D80" s="3"/>
      <c r="E80" s="2"/>
      <c r="F80" s="4"/>
      <c r="G80" s="3"/>
      <c r="H80" s="3"/>
      <c r="I80" s="4"/>
      <c r="J80" s="2"/>
      <c r="K80" s="8"/>
      <c r="L80" s="3"/>
      <c r="M80" s="3"/>
      <c r="N80" s="3"/>
      <c r="O80" t="str">
        <f>IF($N80="Manutenção",COUNTIF($N$3:$N80,"Manutenção"),"")</f>
        <v/>
      </c>
    </row>
    <row r="81" spans="1:15" x14ac:dyDescent="0.25">
      <c r="A81" s="3"/>
      <c r="B81" s="33" t="s">
        <v>147</v>
      </c>
      <c r="C81" s="34"/>
      <c r="D81" s="3"/>
      <c r="E81" s="2"/>
      <c r="F81" s="4"/>
      <c r="G81" s="3"/>
      <c r="H81" s="3"/>
      <c r="I81" s="4"/>
      <c r="J81" s="2"/>
      <c r="K81" s="8"/>
      <c r="L81" s="3"/>
      <c r="M81" s="3"/>
      <c r="N81" s="3"/>
      <c r="O81" t="str">
        <f>IF($N81="Manutenção",COUNTIF($N$3:$N81,"Manutenção"),"")</f>
        <v/>
      </c>
    </row>
    <row r="82" spans="1:15" x14ac:dyDescent="0.25">
      <c r="A82" s="3"/>
      <c r="B82" s="33" t="s">
        <v>83</v>
      </c>
      <c r="C82" s="34"/>
      <c r="D82" s="3"/>
      <c r="E82" s="2"/>
      <c r="F82" s="4"/>
      <c r="G82" s="3"/>
      <c r="H82" s="3"/>
      <c r="I82" s="4"/>
      <c r="J82" s="2"/>
      <c r="K82" s="8"/>
      <c r="L82" s="3"/>
      <c r="M82" s="3"/>
      <c r="N82" s="3"/>
      <c r="O82" t="str">
        <f>IF($N82="Manutenção",COUNTIF($N$3:$N82,"Manutenção"),"")</f>
        <v/>
      </c>
    </row>
    <row r="83" spans="1:15" x14ac:dyDescent="0.25">
      <c r="A83" s="3"/>
      <c r="B83" s="54" t="s">
        <v>148</v>
      </c>
      <c r="C83" s="55"/>
      <c r="D83" s="3"/>
      <c r="E83" s="2"/>
      <c r="F83" s="4"/>
      <c r="G83" s="3"/>
      <c r="H83" s="3"/>
      <c r="I83" s="4"/>
      <c r="J83" s="2"/>
      <c r="K83" s="8"/>
      <c r="L83" s="3"/>
      <c r="M83" s="3"/>
      <c r="N83" s="3"/>
      <c r="O83" t="str">
        <f>IF($N83="Manutenção",COUNTIF($N$3:$N83,"Manutenção"),"")</f>
        <v/>
      </c>
    </row>
    <row r="84" spans="1:15" x14ac:dyDescent="0.25">
      <c r="A84" s="3"/>
      <c r="B84" s="54" t="s">
        <v>149</v>
      </c>
      <c r="C84" s="55"/>
      <c r="D84" s="3"/>
      <c r="E84" s="2"/>
      <c r="F84" s="4"/>
      <c r="G84" s="3"/>
      <c r="H84" s="3"/>
      <c r="I84" s="4"/>
      <c r="J84" s="2"/>
      <c r="K84" s="8"/>
      <c r="L84" s="3"/>
      <c r="M84" s="3"/>
      <c r="N84" s="3"/>
      <c r="O84" t="str">
        <f>IF($N84="Manutenção",COUNTIF($N$3:$N84,"Manutenção"),"")</f>
        <v/>
      </c>
    </row>
    <row r="85" spans="1:15" x14ac:dyDescent="0.25">
      <c r="A85" s="3"/>
      <c r="B85" s="54" t="s">
        <v>150</v>
      </c>
      <c r="C85" s="55"/>
      <c r="D85" s="3"/>
      <c r="E85" s="2"/>
      <c r="F85" s="4"/>
      <c r="G85" s="3"/>
      <c r="H85" s="3"/>
      <c r="I85" s="4"/>
      <c r="J85" s="2"/>
      <c r="K85" s="8"/>
      <c r="L85" s="3"/>
      <c r="M85" s="3"/>
      <c r="N85" s="3"/>
      <c r="O85" t="str">
        <f>IF($N85="Manutenção",COUNTIF($N$3:$N85,"Manutenção"),"")</f>
        <v/>
      </c>
    </row>
    <row r="86" spans="1:15" x14ac:dyDescent="0.25">
      <c r="A86" s="3"/>
      <c r="B86" s="33" t="s">
        <v>84</v>
      </c>
      <c r="C86" s="34"/>
      <c r="D86" s="3"/>
      <c r="E86" s="2"/>
      <c r="F86" s="4"/>
      <c r="G86" s="3"/>
      <c r="H86" s="3"/>
      <c r="I86" s="4"/>
      <c r="J86" s="2"/>
      <c r="K86" s="8"/>
      <c r="L86" s="3"/>
      <c r="M86" s="3"/>
      <c r="N86" s="3"/>
      <c r="O86" t="str">
        <f>IF($N86="Manutenção",COUNTIF($N$3:$N86,"Manutenção"),"")</f>
        <v/>
      </c>
    </row>
    <row r="87" spans="1:15" x14ac:dyDescent="0.25">
      <c r="A87" s="3"/>
      <c r="B87" s="33" t="s">
        <v>85</v>
      </c>
      <c r="C87" s="34"/>
      <c r="D87" s="3"/>
      <c r="E87" s="2"/>
      <c r="F87" s="4"/>
      <c r="G87" s="3"/>
      <c r="H87" s="3"/>
      <c r="I87" s="4"/>
      <c r="J87" s="2"/>
      <c r="K87" s="8"/>
      <c r="L87" s="3"/>
      <c r="M87" s="3"/>
      <c r="N87" s="3"/>
      <c r="O87" t="str">
        <f>IF($N87="Manutenção",COUNTIF($N$3:$N87,"Manutenção"),"")</f>
        <v/>
      </c>
    </row>
    <row r="88" spans="1:15" x14ac:dyDescent="0.25">
      <c r="A88" s="3"/>
      <c r="B88" s="54" t="s">
        <v>151</v>
      </c>
      <c r="C88" s="55"/>
      <c r="D88" s="3"/>
      <c r="E88" s="2"/>
      <c r="F88" s="4"/>
      <c r="G88" s="3"/>
      <c r="H88" s="3"/>
      <c r="I88" s="4"/>
      <c r="J88" s="2"/>
      <c r="K88" s="8"/>
      <c r="L88" s="3"/>
      <c r="M88" s="3"/>
      <c r="N88" s="3"/>
      <c r="O88" t="str">
        <f>IF($N88="Manutenção",COUNTIF($N$3:$N88,"Manutenção"),"")</f>
        <v/>
      </c>
    </row>
    <row r="89" spans="1:15" x14ac:dyDescent="0.25">
      <c r="A89" s="3"/>
      <c r="B89" s="30" t="s">
        <v>152</v>
      </c>
      <c r="C89" s="32"/>
      <c r="D89" s="3"/>
      <c r="E89" s="2"/>
      <c r="F89" s="4"/>
      <c r="G89" s="3"/>
      <c r="H89" s="3"/>
      <c r="I89" s="4"/>
      <c r="J89" s="2"/>
      <c r="K89" s="8"/>
      <c r="L89" s="3"/>
      <c r="M89" s="3"/>
      <c r="N89" s="3"/>
      <c r="O89" t="str">
        <f>IF($N89="Manutenção",COUNTIF($N$3:$N89,"Manutenção"),"")</f>
        <v/>
      </c>
    </row>
    <row r="90" spans="1:15" x14ac:dyDescent="0.25">
      <c r="A90" s="3"/>
      <c r="B90" s="54" t="s">
        <v>153</v>
      </c>
      <c r="C90" s="55"/>
      <c r="D90" s="3"/>
      <c r="E90" s="2"/>
      <c r="F90" s="4"/>
      <c r="G90" s="3"/>
      <c r="H90" s="3"/>
      <c r="I90" s="4"/>
      <c r="J90" s="2"/>
      <c r="K90" s="8"/>
      <c r="L90" s="3"/>
      <c r="M90" s="3"/>
      <c r="N90" s="3"/>
      <c r="O90" t="str">
        <f>IF($N90="Manutenção",COUNTIF($N$3:$N90,"Manutenção"),"")</f>
        <v/>
      </c>
    </row>
    <row r="91" spans="1:15" x14ac:dyDescent="0.25">
      <c r="A91" s="3"/>
      <c r="B91" s="54" t="s">
        <v>124</v>
      </c>
      <c r="C91" s="55"/>
      <c r="D91" s="3"/>
      <c r="E91" s="2"/>
      <c r="F91" s="4"/>
      <c r="G91" s="3"/>
      <c r="H91" s="3"/>
      <c r="I91" s="4"/>
      <c r="J91" s="2"/>
      <c r="K91" s="8"/>
      <c r="L91" s="3"/>
      <c r="M91" s="3"/>
      <c r="N91" s="3"/>
      <c r="O91" t="str">
        <f>IF($N91="Manutenção",COUNTIF($N$3:$N91,"Manutenção"),"")</f>
        <v/>
      </c>
    </row>
    <row r="92" spans="1:15" x14ac:dyDescent="0.25">
      <c r="A92" s="3"/>
      <c r="B92" s="33" t="s">
        <v>125</v>
      </c>
      <c r="C92" s="34"/>
      <c r="D92" s="3"/>
      <c r="E92" s="2"/>
      <c r="F92" s="4"/>
      <c r="G92" s="3"/>
      <c r="H92" s="3"/>
      <c r="I92" s="4"/>
      <c r="J92" s="2"/>
      <c r="K92" s="8"/>
      <c r="L92" s="3"/>
      <c r="M92" s="3"/>
      <c r="N92" s="3"/>
      <c r="O92" t="str">
        <f>IF($N92="Manutenção",COUNTIF($N$3:$N92,"Manutenção"),"")</f>
        <v/>
      </c>
    </row>
    <row r="93" spans="1:15" x14ac:dyDescent="0.25">
      <c r="A93" s="3"/>
      <c r="B93" s="54" t="s">
        <v>154</v>
      </c>
      <c r="C93" s="55"/>
      <c r="D93" s="3"/>
      <c r="E93" s="2"/>
      <c r="F93" s="4"/>
      <c r="G93" s="3"/>
      <c r="H93" s="3"/>
      <c r="I93" s="4"/>
      <c r="J93" s="2"/>
      <c r="K93" s="8"/>
      <c r="L93" s="3"/>
      <c r="M93" s="3"/>
      <c r="N93" s="3"/>
      <c r="O93" t="str">
        <f>IF($N93="Manutenção",COUNTIF($N$3:$N93,"Manutenção"),"")</f>
        <v/>
      </c>
    </row>
    <row r="94" spans="1:15" x14ac:dyDescent="0.25">
      <c r="A94" s="3"/>
      <c r="B94" s="54" t="s">
        <v>155</v>
      </c>
      <c r="C94" s="55"/>
      <c r="D94" s="3"/>
      <c r="E94" s="2"/>
      <c r="F94" s="4"/>
      <c r="G94" s="3"/>
      <c r="H94" s="3"/>
      <c r="I94" s="4"/>
      <c r="J94" s="2"/>
      <c r="K94" s="8"/>
      <c r="L94" s="3"/>
      <c r="M94" s="3"/>
      <c r="N94" s="3"/>
      <c r="O94" t="str">
        <f>IF($N94="Manutenção",COUNTIF($N$3:$N94,"Manutenção"),"")</f>
        <v/>
      </c>
    </row>
    <row r="95" spans="1:15" x14ac:dyDescent="0.25">
      <c r="A95" s="3"/>
      <c r="B95" s="33" t="s">
        <v>156</v>
      </c>
      <c r="C95" s="34"/>
      <c r="D95" s="3"/>
      <c r="E95" s="2"/>
      <c r="F95" s="4"/>
      <c r="G95" s="3"/>
      <c r="H95" s="3"/>
      <c r="I95" s="4"/>
      <c r="J95" s="2"/>
      <c r="K95" s="8"/>
      <c r="L95" s="3"/>
      <c r="M95" s="3"/>
      <c r="N95" s="3"/>
      <c r="O95" t="str">
        <f>IF($N95="Manutenção",COUNTIF($N$3:$N95,"Manutenção"),"")</f>
        <v/>
      </c>
    </row>
    <row r="96" spans="1:15" x14ac:dyDescent="0.25">
      <c r="A96" s="3"/>
      <c r="B96" s="3"/>
      <c r="C96" s="3"/>
      <c r="D96" s="3"/>
      <c r="E96" s="2"/>
      <c r="F96" s="4"/>
      <c r="G96" s="3"/>
      <c r="H96" s="3"/>
      <c r="I96" s="4"/>
      <c r="J96" s="2"/>
      <c r="K96" s="8"/>
      <c r="L96" s="3"/>
      <c r="M96" s="3"/>
      <c r="N96" s="3"/>
      <c r="O96" t="str">
        <f>IF($N96="Manutenção",COUNTIF($N$3:$N96,"Manutenção"),"")</f>
        <v/>
      </c>
    </row>
    <row r="97" spans="1:15" x14ac:dyDescent="0.25">
      <c r="A97" s="3"/>
      <c r="B97" s="3"/>
      <c r="C97" s="3"/>
      <c r="D97" s="3"/>
      <c r="E97" s="2"/>
      <c r="F97" s="4"/>
      <c r="G97" s="3"/>
      <c r="H97" s="3"/>
      <c r="I97" s="4"/>
      <c r="J97" s="2"/>
      <c r="K97" s="8"/>
      <c r="L97" s="3"/>
      <c r="M97" s="3"/>
      <c r="N97" s="3"/>
      <c r="O97" t="str">
        <f>IF($N97="Manutenção",COUNTIF($N$3:$N97,"Manutenção"),"")</f>
        <v/>
      </c>
    </row>
    <row r="98" spans="1:15" x14ac:dyDescent="0.25">
      <c r="A98" s="3"/>
      <c r="B98" s="3"/>
      <c r="C98" s="3"/>
      <c r="D98" s="3"/>
      <c r="E98" s="2"/>
      <c r="F98" s="4"/>
      <c r="G98" s="3"/>
      <c r="H98" s="3"/>
      <c r="I98" s="4"/>
      <c r="J98" s="2"/>
      <c r="K98" s="8"/>
      <c r="L98" s="3"/>
      <c r="M98" s="3"/>
      <c r="N98" s="3"/>
      <c r="O98" t="str">
        <f>IF($N98="Manutenção",COUNTIF($N$3:$N98,"Manutenção"),"")</f>
        <v/>
      </c>
    </row>
    <row r="99" spans="1:15" x14ac:dyDescent="0.25">
      <c r="A99" s="3"/>
      <c r="B99" s="3"/>
      <c r="C99" s="3"/>
      <c r="D99" s="3"/>
      <c r="E99" s="2"/>
      <c r="F99" s="4"/>
      <c r="G99" s="3"/>
      <c r="H99" s="3"/>
      <c r="I99" s="4"/>
      <c r="J99" s="2"/>
      <c r="K99" s="8"/>
      <c r="L99" s="3"/>
      <c r="M99" s="3"/>
      <c r="N99" s="3"/>
      <c r="O99" t="str">
        <f>IF($N99="Manutenção",COUNTIF($N$3:$N99,"Manutenção"),"")</f>
        <v/>
      </c>
    </row>
    <row r="100" spans="1:15" x14ac:dyDescent="0.25">
      <c r="A100" s="3"/>
      <c r="B100" s="3"/>
      <c r="C100" s="3"/>
      <c r="D100" s="3"/>
      <c r="E100" s="2"/>
      <c r="F100" s="4"/>
      <c r="G100" s="3"/>
      <c r="H100" s="3"/>
      <c r="I100" s="4"/>
      <c r="J100" s="2"/>
      <c r="K100" s="8"/>
      <c r="L100" s="3"/>
      <c r="M100" s="3"/>
      <c r="N100" s="3"/>
      <c r="O100" t="str">
        <f>IF($N100="Manutenção",COUNTIF($N$3:$N100,"Manutenção"),"")</f>
        <v/>
      </c>
    </row>
    <row r="101" spans="1:15" x14ac:dyDescent="0.25">
      <c r="A101" s="3"/>
      <c r="B101" s="3"/>
      <c r="C101" s="3"/>
      <c r="D101" s="3"/>
      <c r="E101" s="2"/>
      <c r="F101" s="4"/>
      <c r="G101" s="3"/>
      <c r="H101" s="3"/>
      <c r="I101" s="4"/>
      <c r="J101" s="2"/>
      <c r="K101" s="8"/>
      <c r="L101" s="3"/>
      <c r="M101" s="3"/>
      <c r="N101" s="3"/>
      <c r="O101" t="str">
        <f>IF($N101="Manutenção",COUNTIF($N$3:$N101,"Manutenção"),"")</f>
        <v/>
      </c>
    </row>
    <row r="102" spans="1:15" x14ac:dyDescent="0.25">
      <c r="A102" s="3"/>
      <c r="B102" s="3"/>
      <c r="C102" s="3"/>
      <c r="D102" s="3"/>
      <c r="E102" s="2"/>
      <c r="F102" s="4"/>
      <c r="G102" s="3"/>
      <c r="H102" s="3"/>
      <c r="I102" s="4"/>
      <c r="J102" s="2"/>
      <c r="K102" s="8"/>
      <c r="L102" s="3"/>
      <c r="M102" s="3"/>
      <c r="N102" s="3"/>
      <c r="O102" t="str">
        <f>IF($N102="Manutenção",COUNTIF($N$3:$N102,"Manutenção"),"")</f>
        <v/>
      </c>
    </row>
    <row r="103" spans="1:15" x14ac:dyDescent="0.25">
      <c r="A103" s="3"/>
      <c r="B103" s="3"/>
      <c r="C103" s="3"/>
      <c r="D103" s="3"/>
      <c r="E103" s="2"/>
      <c r="F103" s="4"/>
      <c r="G103" s="3"/>
      <c r="H103" s="3"/>
      <c r="I103" s="4"/>
      <c r="J103" s="2"/>
      <c r="K103" s="8"/>
      <c r="L103" s="3"/>
      <c r="M103" s="3"/>
      <c r="N103" s="3"/>
      <c r="O103" t="str">
        <f>IF($N103="Manutenção",COUNTIF($N$3:$N103,"Manutenção"),"")</f>
        <v/>
      </c>
    </row>
    <row r="104" spans="1:15" x14ac:dyDescent="0.25">
      <c r="A104" s="3"/>
      <c r="B104" s="3"/>
      <c r="C104" s="3"/>
      <c r="D104" s="3"/>
      <c r="E104" s="2"/>
      <c r="F104" s="4"/>
      <c r="G104" s="3"/>
      <c r="H104" s="3"/>
      <c r="I104" s="4"/>
      <c r="J104" s="2"/>
      <c r="K104" s="8"/>
      <c r="L104" s="3"/>
      <c r="M104" s="3"/>
      <c r="N104" s="3"/>
      <c r="O104" t="str">
        <f>IF($N104="Manutenção",COUNTIF($N$3:$N104,"Manutenção"),"")</f>
        <v/>
      </c>
    </row>
    <row r="105" spans="1:15" x14ac:dyDescent="0.25">
      <c r="A105" s="3"/>
      <c r="B105" s="3"/>
      <c r="C105" s="3"/>
      <c r="D105" s="3"/>
      <c r="E105" s="2"/>
      <c r="F105" s="4"/>
      <c r="G105" s="3"/>
      <c r="H105" s="3"/>
      <c r="I105" s="4"/>
      <c r="J105" s="2"/>
      <c r="K105" s="8"/>
      <c r="L105" s="3"/>
      <c r="M105" s="3"/>
      <c r="N105" s="3"/>
      <c r="O105" t="str">
        <f>IF($N105="Manutenção",COUNTIF($N$3:$N105,"Manutenção"),"")</f>
        <v/>
      </c>
    </row>
    <row r="106" spans="1:15" x14ac:dyDescent="0.25">
      <c r="A106" s="3"/>
      <c r="B106" s="3"/>
      <c r="C106" s="3"/>
      <c r="D106" s="3"/>
      <c r="E106" s="2"/>
      <c r="F106" s="4"/>
      <c r="G106" s="3"/>
      <c r="H106" s="3"/>
      <c r="I106" s="4"/>
      <c r="J106" s="2"/>
      <c r="K106" s="8"/>
      <c r="L106" s="3"/>
      <c r="M106" s="3"/>
      <c r="N106" s="3"/>
      <c r="O106" t="str">
        <f>IF($N106="Manutenção",COUNTIF($N$3:$N106,"Manutenção"),"")</f>
        <v/>
      </c>
    </row>
    <row r="107" spans="1:15" x14ac:dyDescent="0.25">
      <c r="A107" s="3"/>
      <c r="B107" s="3"/>
      <c r="C107" s="3"/>
      <c r="D107" s="3"/>
      <c r="E107" s="2"/>
      <c r="F107" s="4"/>
      <c r="G107" s="3"/>
      <c r="H107" s="3"/>
      <c r="I107" s="4"/>
      <c r="J107" s="2"/>
      <c r="K107" s="8"/>
      <c r="L107" s="3"/>
      <c r="M107" s="3"/>
      <c r="N107" s="3"/>
      <c r="O107" t="str">
        <f>IF($N107="Manutenção",COUNTIF($N$3:$N107,"Manutenção"),"")</f>
        <v/>
      </c>
    </row>
    <row r="108" spans="1:15" x14ac:dyDescent="0.25">
      <c r="A108" s="3"/>
      <c r="B108" s="3"/>
      <c r="C108" s="3"/>
      <c r="D108" s="3"/>
      <c r="E108" s="2"/>
      <c r="F108" s="4"/>
      <c r="G108" s="3"/>
      <c r="H108" s="3"/>
      <c r="I108" s="4"/>
      <c r="J108" s="2"/>
      <c r="K108" s="8"/>
      <c r="L108" s="3"/>
      <c r="M108" s="3"/>
      <c r="N108" s="3"/>
      <c r="O108" t="str">
        <f>IF($N108="Manutenção",COUNTIF($N$3:$N108,"Manutenção"),"")</f>
        <v/>
      </c>
    </row>
    <row r="109" spans="1:15" x14ac:dyDescent="0.25">
      <c r="A109" s="3"/>
      <c r="B109" s="3"/>
      <c r="C109" s="3"/>
      <c r="D109" s="3"/>
      <c r="E109" s="2"/>
      <c r="F109" s="4"/>
      <c r="G109" s="3"/>
      <c r="H109" s="3"/>
      <c r="I109" s="4"/>
      <c r="J109" s="2"/>
      <c r="K109" s="8"/>
      <c r="L109" s="3"/>
      <c r="M109" s="3"/>
      <c r="N109" s="3"/>
      <c r="O109" t="str">
        <f>IF($N109="Manutenção",COUNTIF($N$3:$N109,"Manutenção"),"")</f>
        <v/>
      </c>
    </row>
    <row r="110" spans="1:15" x14ac:dyDescent="0.25">
      <c r="A110" s="3"/>
      <c r="B110" s="3"/>
      <c r="C110" s="3"/>
      <c r="D110" s="3"/>
      <c r="E110" s="2"/>
      <c r="F110" s="4"/>
      <c r="G110" s="3"/>
      <c r="H110" s="3"/>
      <c r="I110" s="4"/>
      <c r="J110" s="2"/>
      <c r="K110" s="8"/>
      <c r="L110" s="3"/>
      <c r="M110" s="3"/>
      <c r="N110" s="3"/>
      <c r="O110" t="str">
        <f>IF($N110="Manutenção",COUNTIF($N$3:$N110,"Manutenção"),"")</f>
        <v/>
      </c>
    </row>
    <row r="111" spans="1:15" x14ac:dyDescent="0.25">
      <c r="A111" s="3"/>
      <c r="B111" s="3"/>
      <c r="C111" s="3"/>
      <c r="D111" s="3"/>
      <c r="E111" s="2"/>
      <c r="F111" s="4"/>
      <c r="G111" s="3"/>
      <c r="H111" s="3"/>
      <c r="I111" s="4"/>
      <c r="J111" s="2"/>
      <c r="K111" s="8"/>
      <c r="L111" s="3"/>
      <c r="M111" s="3"/>
      <c r="N111" s="3"/>
      <c r="O111" t="str">
        <f>IF($N111="Manutenção",COUNTIF($N$3:$N111,"Manutenção"),"")</f>
        <v/>
      </c>
    </row>
    <row r="112" spans="1:15" x14ac:dyDescent="0.25">
      <c r="A112" s="3"/>
      <c r="B112" s="3"/>
      <c r="C112" s="3"/>
      <c r="D112" s="3"/>
      <c r="E112" s="2"/>
      <c r="F112" s="4"/>
      <c r="G112" s="3"/>
      <c r="H112" s="3"/>
      <c r="I112" s="4"/>
      <c r="J112" s="2"/>
      <c r="K112" s="8"/>
      <c r="L112" s="3"/>
      <c r="M112" s="3"/>
      <c r="N112" s="3"/>
      <c r="O112" t="str">
        <f>IF($N112="Manutenção",COUNTIF($N$3:$N112,"Manutenção"),"")</f>
        <v/>
      </c>
    </row>
    <row r="113" spans="1:15" x14ac:dyDescent="0.25">
      <c r="A113" s="3"/>
      <c r="B113" s="3"/>
      <c r="C113" s="3"/>
      <c r="D113" s="3"/>
      <c r="E113" s="2"/>
      <c r="F113" s="4"/>
      <c r="G113" s="3"/>
      <c r="H113" s="3"/>
      <c r="I113" s="4"/>
      <c r="J113" s="2"/>
      <c r="K113" s="8"/>
      <c r="L113" s="3"/>
      <c r="M113" s="3"/>
      <c r="N113" s="3"/>
      <c r="O113" t="str">
        <f>IF($N113="Manutenção",COUNTIF($N$3:$N113,"Manutenção"),"")</f>
        <v/>
      </c>
    </row>
    <row r="114" spans="1:15" x14ac:dyDescent="0.25">
      <c r="A114" s="3"/>
      <c r="B114" s="3"/>
      <c r="C114" s="3"/>
      <c r="D114" s="3"/>
      <c r="E114" s="2"/>
      <c r="F114" s="4"/>
      <c r="G114" s="3"/>
      <c r="H114" s="3"/>
      <c r="I114" s="4"/>
      <c r="J114" s="2"/>
      <c r="K114" s="8"/>
      <c r="L114" s="3"/>
      <c r="M114" s="3"/>
      <c r="N114" s="3"/>
      <c r="O114" t="str">
        <f>IF($N114="Manutenção",COUNTIF($N$3:$N114,"Manutenção"),"")</f>
        <v/>
      </c>
    </row>
    <row r="115" spans="1:15" x14ac:dyDescent="0.25">
      <c r="A115" s="3"/>
      <c r="B115" s="3"/>
      <c r="C115" s="3"/>
      <c r="D115" s="3"/>
      <c r="E115" s="2"/>
      <c r="F115" s="4"/>
      <c r="G115" s="3"/>
      <c r="H115" s="3"/>
      <c r="I115" s="4"/>
      <c r="J115" s="2"/>
      <c r="K115" s="8"/>
      <c r="L115" s="3"/>
      <c r="M115" s="3"/>
      <c r="N115" s="3"/>
      <c r="O115" t="str">
        <f>IF($N115="Manutenção",COUNTIF($N$3:$N115,"Manutenção"),"")</f>
        <v/>
      </c>
    </row>
    <row r="116" spans="1:15" x14ac:dyDescent="0.25">
      <c r="A116" s="3"/>
      <c r="B116" s="3"/>
      <c r="C116" s="3"/>
      <c r="D116" s="3"/>
      <c r="E116" s="2"/>
      <c r="F116" s="4"/>
      <c r="G116" s="3"/>
      <c r="H116" s="3"/>
      <c r="I116" s="4"/>
      <c r="J116" s="2"/>
      <c r="K116" s="8"/>
      <c r="L116" s="3"/>
      <c r="M116" s="3"/>
      <c r="N116" s="3"/>
      <c r="O116" t="str">
        <f>IF($N116="Manutenção",COUNTIF($N$3:$N116,"Manutenção"),"")</f>
        <v/>
      </c>
    </row>
    <row r="117" spans="1:15" x14ac:dyDescent="0.25">
      <c r="A117" s="3"/>
      <c r="B117" s="3"/>
      <c r="C117" s="3"/>
      <c r="D117" s="3"/>
      <c r="E117" s="2"/>
      <c r="F117" s="4"/>
      <c r="G117" s="3"/>
      <c r="H117" s="3"/>
      <c r="I117" s="4"/>
      <c r="J117" s="2"/>
      <c r="K117" s="8"/>
      <c r="L117" s="3"/>
      <c r="M117" s="3"/>
      <c r="N117" s="3"/>
      <c r="O117" t="str">
        <f>IF($N117="Manutenção",COUNTIF($N$3:$N117,"Manutenção"),"")</f>
        <v/>
      </c>
    </row>
    <row r="118" spans="1:15" x14ac:dyDescent="0.25">
      <c r="A118" s="3"/>
      <c r="B118" s="3"/>
      <c r="C118" s="3"/>
      <c r="D118" s="3"/>
      <c r="E118" s="2"/>
      <c r="F118" s="4"/>
      <c r="G118" s="3"/>
      <c r="H118" s="3"/>
      <c r="I118" s="4"/>
      <c r="J118" s="2"/>
      <c r="K118" s="8"/>
      <c r="L118" s="3"/>
      <c r="M118" s="3"/>
      <c r="N118" s="3"/>
      <c r="O118" t="str">
        <f>IF($N118="Manutenção",COUNTIF($N$3:$N118,"Manutenção"),"")</f>
        <v/>
      </c>
    </row>
    <row r="119" spans="1:15" x14ac:dyDescent="0.25">
      <c r="A119" s="3"/>
      <c r="B119" s="3"/>
      <c r="C119" s="3"/>
      <c r="D119" s="3"/>
      <c r="E119" s="2"/>
      <c r="F119" s="4"/>
      <c r="G119" s="3"/>
      <c r="H119" s="3"/>
      <c r="I119" s="4"/>
      <c r="J119" s="2"/>
      <c r="K119" s="8"/>
      <c r="L119" s="3"/>
      <c r="M119" s="3"/>
      <c r="N119" s="3"/>
      <c r="O119" t="str">
        <f>IF($N119="Manutenção",COUNTIF($N$3:$N119,"Manutenção"),"")</f>
        <v/>
      </c>
    </row>
    <row r="120" spans="1:15" x14ac:dyDescent="0.25">
      <c r="A120" s="3"/>
      <c r="B120" s="3"/>
      <c r="C120" s="3"/>
      <c r="D120" s="3"/>
      <c r="E120" s="2"/>
      <c r="F120" s="4"/>
      <c r="G120" s="3"/>
      <c r="H120" s="3"/>
      <c r="I120" s="4"/>
      <c r="J120" s="2"/>
      <c r="K120" s="8"/>
      <c r="L120" s="3"/>
      <c r="M120" s="3"/>
      <c r="N120" s="3"/>
      <c r="O120" t="str">
        <f>IF($N120="Manutenção",COUNTIF($N$3:$N120,"Manutenção"),"")</f>
        <v/>
      </c>
    </row>
    <row r="121" spans="1:15" x14ac:dyDescent="0.25">
      <c r="A121" s="3"/>
      <c r="B121" s="3"/>
      <c r="C121" s="3"/>
      <c r="D121" s="3"/>
      <c r="E121" s="2"/>
      <c r="F121" s="4"/>
      <c r="G121" s="3"/>
      <c r="H121" s="3"/>
      <c r="I121" s="4"/>
      <c r="J121" s="2"/>
      <c r="K121" s="8"/>
      <c r="L121" s="3"/>
      <c r="M121" s="3"/>
      <c r="N121" s="3"/>
      <c r="O121" t="str">
        <f>IF($N121="Manutenção",COUNTIF($N$3:$N121,"Manutenção"),"")</f>
        <v/>
      </c>
    </row>
    <row r="122" spans="1:15" x14ac:dyDescent="0.25">
      <c r="A122" s="3"/>
      <c r="B122" s="3"/>
      <c r="C122" s="3"/>
      <c r="D122" s="3"/>
      <c r="E122" s="2"/>
      <c r="F122" s="4"/>
      <c r="G122" s="3"/>
      <c r="H122" s="3"/>
      <c r="I122" s="4"/>
      <c r="J122" s="2"/>
      <c r="K122" s="8"/>
      <c r="L122" s="3"/>
      <c r="M122" s="3"/>
      <c r="N122" s="3"/>
      <c r="O122" t="str">
        <f>IF($N122="Manutenção",COUNTIF($N$3:$N122,"Manutenção"),"")</f>
        <v/>
      </c>
    </row>
    <row r="123" spans="1:15" x14ac:dyDescent="0.25">
      <c r="A123" s="3"/>
      <c r="B123" s="3"/>
      <c r="C123" s="3"/>
      <c r="D123" s="3"/>
      <c r="E123" s="2"/>
      <c r="F123" s="4"/>
      <c r="G123" s="3"/>
      <c r="H123" s="3"/>
      <c r="I123" s="4"/>
      <c r="J123" s="2"/>
      <c r="K123" s="8"/>
      <c r="L123" s="3"/>
      <c r="M123" s="3"/>
      <c r="N123" s="3"/>
      <c r="O123" t="str">
        <f>IF($N123="Manutenção",COUNTIF($N$3:$N123,"Manutenção"),"")</f>
        <v/>
      </c>
    </row>
    <row r="124" spans="1:15" x14ac:dyDescent="0.25">
      <c r="A124" s="3"/>
      <c r="B124" s="3"/>
      <c r="C124" s="3"/>
      <c r="D124" s="3"/>
      <c r="E124" s="2"/>
      <c r="F124" s="4"/>
      <c r="G124" s="3"/>
      <c r="H124" s="3"/>
      <c r="I124" s="4"/>
      <c r="J124" s="2"/>
      <c r="K124" s="8"/>
      <c r="L124" s="3"/>
      <c r="M124" s="3"/>
      <c r="N124" s="3"/>
      <c r="O124" t="str">
        <f>IF($N124="Manutenção",COUNTIF($N$3:$N124,"Manutenção"),"")</f>
        <v/>
      </c>
    </row>
    <row r="125" spans="1:15" x14ac:dyDescent="0.25">
      <c r="A125" s="3"/>
      <c r="B125" s="3"/>
      <c r="C125" s="3"/>
      <c r="D125" s="3"/>
      <c r="E125" s="2"/>
      <c r="F125" s="4"/>
      <c r="G125" s="3"/>
      <c r="H125" s="3"/>
      <c r="I125" s="4"/>
      <c r="J125" s="2"/>
      <c r="K125" s="8"/>
      <c r="L125" s="3"/>
      <c r="M125" s="3"/>
      <c r="N125" s="3"/>
      <c r="O125" t="str">
        <f>IF($N125="Manutenção",COUNTIF($N$3:$N125,"Manutenção"),"")</f>
        <v/>
      </c>
    </row>
    <row r="126" spans="1:15" x14ac:dyDescent="0.25">
      <c r="A126" s="3"/>
      <c r="B126" s="3"/>
      <c r="C126" s="3"/>
      <c r="D126" s="3"/>
      <c r="E126" s="2"/>
      <c r="F126" s="4"/>
      <c r="G126" s="3"/>
      <c r="H126" s="3"/>
      <c r="I126" s="4"/>
      <c r="J126" s="2"/>
      <c r="K126" s="8"/>
      <c r="L126" s="3"/>
      <c r="M126" s="3"/>
      <c r="N126" s="3"/>
      <c r="O126" t="str">
        <f>IF($N126="Manutenção",COUNTIF($N$3:$N126,"Manutenção"),"")</f>
        <v/>
      </c>
    </row>
    <row r="127" spans="1:15" x14ac:dyDescent="0.25">
      <c r="A127" s="3"/>
      <c r="B127" s="3"/>
      <c r="C127" s="3"/>
      <c r="D127" s="3"/>
      <c r="E127" s="2"/>
      <c r="F127" s="4"/>
      <c r="G127" s="3"/>
      <c r="H127" s="3"/>
      <c r="I127" s="4"/>
      <c r="J127" s="2"/>
      <c r="K127" s="8"/>
      <c r="L127" s="3"/>
      <c r="M127" s="3"/>
      <c r="N127" s="3"/>
      <c r="O127" t="str">
        <f>IF($N127="Manutenção",COUNTIF($N$3:$N127,"Manutenção"),"")</f>
        <v/>
      </c>
    </row>
    <row r="128" spans="1:15" x14ac:dyDescent="0.25">
      <c r="A128" s="3"/>
      <c r="B128" s="3"/>
      <c r="C128" s="3"/>
      <c r="D128" s="3"/>
      <c r="E128" s="2"/>
      <c r="F128" s="4"/>
      <c r="G128" s="3"/>
      <c r="H128" s="3"/>
      <c r="I128" s="4"/>
      <c r="J128" s="2"/>
      <c r="K128" s="8"/>
      <c r="L128" s="3"/>
      <c r="M128" s="3"/>
      <c r="N128" s="3"/>
      <c r="O128" t="str">
        <f>IF($N128="Manutenção",COUNTIF($N$3:$N128,"Manutenção"),"")</f>
        <v/>
      </c>
    </row>
    <row r="129" spans="1:15" x14ac:dyDescent="0.25">
      <c r="A129" s="3"/>
      <c r="B129" s="3"/>
      <c r="C129" s="3"/>
      <c r="D129" s="3"/>
      <c r="E129" s="2"/>
      <c r="F129" s="4"/>
      <c r="G129" s="3"/>
      <c r="H129" s="3"/>
      <c r="I129" s="4"/>
      <c r="J129" s="2"/>
      <c r="K129" s="8"/>
      <c r="L129" s="3"/>
      <c r="M129" s="3"/>
      <c r="N129" s="3"/>
      <c r="O129" t="str">
        <f>IF($N129="Manutenção",COUNTIF($N$3:$N129,"Manutenção"),"")</f>
        <v/>
      </c>
    </row>
    <row r="130" spans="1:15" x14ac:dyDescent="0.25">
      <c r="A130" s="3"/>
      <c r="B130" s="3"/>
      <c r="C130" s="3"/>
      <c r="D130" s="3"/>
      <c r="E130" s="2"/>
      <c r="F130" s="4"/>
      <c r="G130" s="3"/>
      <c r="H130" s="3"/>
      <c r="I130" s="4"/>
      <c r="J130" s="2"/>
      <c r="K130" s="8"/>
      <c r="L130" s="3"/>
      <c r="M130" s="3"/>
      <c r="N130" s="3"/>
      <c r="O130" t="str">
        <f>IF($N130="Manutenção",COUNTIF($N$3:$N130,"Manutenção"),"")</f>
        <v/>
      </c>
    </row>
    <row r="131" spans="1:15" x14ac:dyDescent="0.25">
      <c r="A131" s="3"/>
      <c r="B131" s="3"/>
      <c r="C131" s="3"/>
      <c r="D131" s="3"/>
      <c r="E131" s="2"/>
      <c r="F131" s="4"/>
      <c r="G131" s="3"/>
      <c r="H131" s="3"/>
      <c r="I131" s="4"/>
      <c r="J131" s="2"/>
      <c r="K131" s="8"/>
      <c r="L131" s="3"/>
      <c r="M131" s="3"/>
      <c r="N131" s="3"/>
      <c r="O131" t="str">
        <f>IF($N131="Manutenção",COUNTIF($N$3:$N131,"Manutenção"),"")</f>
        <v/>
      </c>
    </row>
    <row r="132" spans="1:15" x14ac:dyDescent="0.25">
      <c r="A132" s="3"/>
      <c r="B132" s="3"/>
      <c r="C132" s="3"/>
      <c r="D132" s="3"/>
      <c r="E132" s="2"/>
      <c r="F132" s="4"/>
      <c r="G132" s="3"/>
      <c r="H132" s="3"/>
      <c r="I132" s="4"/>
      <c r="J132" s="2"/>
      <c r="K132" s="8"/>
      <c r="L132" s="3"/>
      <c r="M132" s="3"/>
      <c r="N132" s="3"/>
      <c r="O132" t="str">
        <f>IF($N132="Manutenção",COUNTIF($N$3:$N132,"Manutenção"),"")</f>
        <v/>
      </c>
    </row>
    <row r="133" spans="1:15" x14ac:dyDescent="0.25">
      <c r="A133" s="3"/>
      <c r="B133" s="3"/>
      <c r="C133" s="3"/>
      <c r="D133" s="3"/>
      <c r="E133" s="2"/>
      <c r="F133" s="4"/>
      <c r="G133" s="3"/>
      <c r="H133" s="3"/>
      <c r="I133" s="4"/>
      <c r="J133" s="2"/>
      <c r="K133" s="8"/>
      <c r="L133" s="3"/>
      <c r="M133" s="3"/>
      <c r="N133" s="3"/>
      <c r="O133" t="str">
        <f>IF($N133="Manutenção",COUNTIF($N$3:$N133,"Manutenção"),"")</f>
        <v/>
      </c>
    </row>
    <row r="134" spans="1:15" x14ac:dyDescent="0.25">
      <c r="A134" s="3"/>
      <c r="B134" s="3"/>
      <c r="C134" s="3"/>
      <c r="D134" s="3"/>
      <c r="E134" s="2"/>
      <c r="F134" s="4"/>
      <c r="G134" s="3"/>
      <c r="H134" s="3"/>
      <c r="I134" s="4"/>
      <c r="J134" s="2"/>
      <c r="K134" s="8"/>
      <c r="L134" s="3"/>
      <c r="M134" s="3"/>
      <c r="N134" s="3"/>
      <c r="O134" t="str">
        <f>IF($N134="Manutenção",COUNTIF($N$3:$N134,"Manutenção"),"")</f>
        <v/>
      </c>
    </row>
    <row r="135" spans="1:15" x14ac:dyDescent="0.25">
      <c r="A135" s="3"/>
      <c r="B135" s="3"/>
      <c r="C135" s="3"/>
      <c r="D135" s="3"/>
      <c r="E135" s="2"/>
      <c r="F135" s="4"/>
      <c r="G135" s="3"/>
      <c r="H135" s="3"/>
      <c r="I135" s="4"/>
      <c r="J135" s="2"/>
      <c r="K135" s="8"/>
      <c r="L135" s="3"/>
      <c r="M135" s="3"/>
      <c r="N135" s="3"/>
      <c r="O135" t="str">
        <f>IF($N135="Manutenção",COUNTIF($N$3:$N135,"Manutenção"),"")</f>
        <v/>
      </c>
    </row>
    <row r="136" spans="1:15" x14ac:dyDescent="0.25">
      <c r="A136" s="3"/>
      <c r="B136" s="3"/>
      <c r="C136" s="3"/>
      <c r="D136" s="3"/>
      <c r="E136" s="2"/>
      <c r="F136" s="4"/>
      <c r="G136" s="3"/>
      <c r="H136" s="3"/>
      <c r="I136" s="4"/>
      <c r="J136" s="2"/>
      <c r="K136" s="8"/>
      <c r="L136" s="3"/>
      <c r="M136" s="3"/>
      <c r="N136" s="3"/>
      <c r="O136" t="str">
        <f>IF($N136="Manutenção",COUNTIF($N$3:$N136,"Manutenção"),"")</f>
        <v/>
      </c>
    </row>
    <row r="137" spans="1:15" x14ac:dyDescent="0.25">
      <c r="A137" s="3"/>
      <c r="B137" s="3"/>
      <c r="C137" s="3"/>
      <c r="D137" s="3"/>
      <c r="E137" s="2"/>
      <c r="F137" s="4"/>
      <c r="G137" s="3"/>
      <c r="H137" s="3"/>
      <c r="I137" s="4"/>
      <c r="J137" s="2"/>
      <c r="K137" s="8"/>
      <c r="L137" s="3"/>
      <c r="M137" s="3"/>
      <c r="N137" s="3"/>
      <c r="O137" t="str">
        <f>IF($N137="Manutenção",COUNTIF($N$3:$N137,"Manutenção"),"")</f>
        <v/>
      </c>
    </row>
    <row r="138" spans="1:15" x14ac:dyDescent="0.25">
      <c r="A138" s="3"/>
      <c r="B138" s="3"/>
      <c r="C138" s="3"/>
      <c r="D138" s="3"/>
      <c r="E138" s="2"/>
      <c r="F138" s="4"/>
      <c r="G138" s="3"/>
      <c r="H138" s="3"/>
      <c r="I138" s="4"/>
      <c r="J138" s="2"/>
      <c r="K138" s="8"/>
      <c r="L138" s="3"/>
      <c r="M138" s="3"/>
      <c r="N138" s="3"/>
      <c r="O138" t="str">
        <f>IF($N138="Manutenção",COUNTIF($N$3:$N138,"Manutenção"),"")</f>
        <v/>
      </c>
    </row>
    <row r="139" spans="1:15" x14ac:dyDescent="0.25">
      <c r="A139" s="3"/>
      <c r="B139" s="3"/>
      <c r="C139" s="3"/>
      <c r="D139" s="3"/>
      <c r="E139" s="2"/>
      <c r="F139" s="4"/>
      <c r="G139" s="3"/>
      <c r="H139" s="3"/>
      <c r="I139" s="4"/>
      <c r="J139" s="2"/>
      <c r="K139" s="8"/>
      <c r="L139" s="3"/>
      <c r="M139" s="3"/>
      <c r="N139" s="3"/>
      <c r="O139" t="str">
        <f>IF($N139="Manutenção",COUNTIF($N$3:$N139,"Manutenção"),"")</f>
        <v/>
      </c>
    </row>
    <row r="140" spans="1:15" x14ac:dyDescent="0.25">
      <c r="A140" s="3"/>
      <c r="B140" s="3"/>
      <c r="C140" s="3"/>
      <c r="D140" s="3"/>
      <c r="E140" s="2"/>
      <c r="F140" s="4"/>
      <c r="G140" s="3"/>
      <c r="H140" s="3"/>
      <c r="I140" s="4"/>
      <c r="J140" s="2"/>
      <c r="K140" s="8"/>
      <c r="L140" s="3"/>
      <c r="M140" s="3"/>
      <c r="N140" s="3"/>
      <c r="O140" t="str">
        <f>IF($N140="Manutenção",COUNTIF($N$3:$N140,"Manutenção"),"")</f>
        <v/>
      </c>
    </row>
    <row r="141" spans="1:15" x14ac:dyDescent="0.25">
      <c r="A141" s="3"/>
      <c r="B141" s="3"/>
      <c r="C141" s="3"/>
      <c r="D141" s="3"/>
      <c r="E141" s="2"/>
      <c r="F141" s="4"/>
      <c r="G141" s="3"/>
      <c r="H141" s="3"/>
      <c r="I141" s="4"/>
      <c r="J141" s="2"/>
      <c r="K141" s="8"/>
      <c r="L141" s="3"/>
      <c r="M141" s="3"/>
      <c r="N141" s="3"/>
      <c r="O141" t="str">
        <f>IF($N141="Manutenção",COUNTIF($N$3:$N141,"Manutenção"),"")</f>
        <v/>
      </c>
    </row>
    <row r="142" spans="1:15" x14ac:dyDescent="0.25">
      <c r="A142" s="3"/>
      <c r="B142" s="3"/>
      <c r="C142" s="3"/>
      <c r="D142" s="3"/>
      <c r="E142" s="2"/>
      <c r="F142" s="4"/>
      <c r="G142" s="3"/>
      <c r="H142" s="3"/>
      <c r="I142" s="4"/>
      <c r="J142" s="2"/>
      <c r="K142" s="8"/>
      <c r="L142" s="3"/>
      <c r="M142" s="3"/>
      <c r="N142" s="3"/>
      <c r="O142" t="str">
        <f>IF($N142="Manutenção",COUNTIF($N$3:$N142,"Manutenção"),"")</f>
        <v/>
      </c>
    </row>
    <row r="143" spans="1:15" x14ac:dyDescent="0.25">
      <c r="A143" s="3"/>
      <c r="B143" s="3"/>
      <c r="C143" s="3"/>
      <c r="D143" s="3"/>
      <c r="E143" s="2"/>
      <c r="F143" s="4"/>
      <c r="G143" s="3"/>
      <c r="H143" s="3"/>
      <c r="I143" s="4"/>
      <c r="J143" s="2"/>
      <c r="K143" s="8"/>
      <c r="L143" s="3"/>
      <c r="M143" s="3"/>
      <c r="N143" s="3"/>
      <c r="O143" t="str">
        <f>IF($N143="Manutenção",COUNTIF($N$3:$N143,"Manutenção"),"")</f>
        <v/>
      </c>
    </row>
    <row r="144" spans="1:15" x14ac:dyDescent="0.25">
      <c r="A144" s="3"/>
      <c r="B144" s="3"/>
      <c r="C144" s="3"/>
      <c r="D144" s="3"/>
      <c r="E144" s="2"/>
      <c r="F144" s="4"/>
      <c r="G144" s="3"/>
      <c r="H144" s="3"/>
      <c r="I144" s="4"/>
      <c r="J144" s="2"/>
      <c r="K144" s="8"/>
      <c r="L144" s="3"/>
      <c r="M144" s="3"/>
      <c r="N144" s="3"/>
      <c r="O144" t="str">
        <f>IF($N144="Manutenção",COUNTIF($N$3:$N144,"Manutenção"),"")</f>
        <v/>
      </c>
    </row>
    <row r="145" spans="1:15" x14ac:dyDescent="0.25">
      <c r="A145" s="3"/>
      <c r="B145" s="3"/>
      <c r="C145" s="3"/>
      <c r="D145" s="3"/>
      <c r="E145" s="2"/>
      <c r="F145" s="4"/>
      <c r="G145" s="3"/>
      <c r="H145" s="3"/>
      <c r="I145" s="4"/>
      <c r="J145" s="2"/>
      <c r="K145" s="8"/>
      <c r="L145" s="3"/>
      <c r="M145" s="3"/>
      <c r="N145" s="3"/>
      <c r="O145" t="str">
        <f>IF($N145="Manutenção",COUNTIF($N$3:$N145,"Manutenção"),"")</f>
        <v/>
      </c>
    </row>
    <row r="146" spans="1:15" x14ac:dyDescent="0.25">
      <c r="A146" s="3"/>
      <c r="B146" s="3"/>
      <c r="C146" s="3"/>
      <c r="D146" s="3"/>
      <c r="E146" s="2"/>
      <c r="F146" s="4"/>
      <c r="G146" s="3"/>
      <c r="H146" s="3"/>
      <c r="I146" s="4"/>
      <c r="J146" s="2"/>
      <c r="K146" s="8"/>
      <c r="L146" s="3"/>
      <c r="M146" s="3"/>
      <c r="N146" s="3"/>
      <c r="O146" t="str">
        <f>IF($N146="Manutenção",COUNTIF($N$3:$N146,"Manutenção"),"")</f>
        <v/>
      </c>
    </row>
    <row r="147" spans="1:15" x14ac:dyDescent="0.25">
      <c r="A147" s="3"/>
      <c r="B147" s="3"/>
      <c r="C147" s="3"/>
      <c r="D147" s="3"/>
      <c r="E147" s="2"/>
      <c r="F147" s="4"/>
      <c r="G147" s="3"/>
      <c r="H147" s="3"/>
      <c r="I147" s="4"/>
      <c r="J147" s="2"/>
      <c r="K147" s="8"/>
      <c r="L147" s="3"/>
      <c r="M147" s="3"/>
      <c r="N147" s="3"/>
      <c r="O147" t="str">
        <f>IF($N147="Manutenção",COUNTIF($N$3:$N147,"Manutenção"),"")</f>
        <v/>
      </c>
    </row>
    <row r="148" spans="1:15" x14ac:dyDescent="0.25">
      <c r="A148" s="3"/>
      <c r="B148" s="3"/>
      <c r="C148" s="3"/>
      <c r="D148" s="3"/>
      <c r="E148" s="2"/>
      <c r="F148" s="4"/>
      <c r="G148" s="3"/>
      <c r="H148" s="3"/>
      <c r="I148" s="4"/>
      <c r="J148" s="2"/>
      <c r="K148" s="8"/>
      <c r="L148" s="3"/>
      <c r="M148" s="3"/>
      <c r="N148" s="3"/>
      <c r="O148" t="str">
        <f>IF($N148="Manutenção",COUNTIF($N$3:$N148,"Manutenção"),"")</f>
        <v/>
      </c>
    </row>
    <row r="149" spans="1:15" x14ac:dyDescent="0.25">
      <c r="A149" s="3"/>
      <c r="B149" s="3"/>
      <c r="C149" s="3"/>
      <c r="D149" s="3"/>
      <c r="E149" s="2"/>
      <c r="F149" s="4"/>
      <c r="G149" s="3"/>
      <c r="H149" s="3"/>
      <c r="I149" s="4"/>
      <c r="J149" s="2"/>
      <c r="K149" s="8"/>
      <c r="L149" s="3"/>
      <c r="M149" s="3"/>
      <c r="N149" s="3"/>
      <c r="O149" t="str">
        <f>IF($N149="Manutenção",COUNTIF($N$3:$N149,"Manutenção"),"")</f>
        <v/>
      </c>
    </row>
    <row r="150" spans="1:15" x14ac:dyDescent="0.25">
      <c r="A150" s="3"/>
      <c r="B150" s="3"/>
      <c r="C150" s="3"/>
      <c r="D150" s="3"/>
      <c r="E150" s="2"/>
      <c r="F150" s="4"/>
      <c r="G150" s="3"/>
      <c r="H150" s="3"/>
      <c r="I150" s="4"/>
      <c r="J150" s="2"/>
      <c r="K150" s="8"/>
      <c r="L150" s="3"/>
      <c r="M150" s="3"/>
      <c r="N150" s="3"/>
      <c r="O150" t="str">
        <f>IF($N150="Manutenção",COUNTIF($N$3:$N150,"Manutenção"),"")</f>
        <v/>
      </c>
    </row>
    <row r="151" spans="1:15" x14ac:dyDescent="0.25">
      <c r="A151" s="3"/>
      <c r="B151" s="3"/>
      <c r="C151" s="3"/>
      <c r="D151" s="3"/>
      <c r="E151" s="2"/>
      <c r="F151" s="4"/>
      <c r="G151" s="3"/>
      <c r="H151" s="3"/>
      <c r="I151" s="4"/>
      <c r="J151" s="2"/>
      <c r="K151" s="8"/>
      <c r="L151" s="3"/>
      <c r="M151" s="3"/>
      <c r="N151" s="3"/>
      <c r="O151" t="str">
        <f>IF($N151="Manutenção",COUNTIF($N$3:$N151,"Manutenção"),"")</f>
        <v/>
      </c>
    </row>
    <row r="152" spans="1:15" x14ac:dyDescent="0.25">
      <c r="A152" s="3"/>
      <c r="B152" s="3"/>
      <c r="C152" s="3"/>
      <c r="D152" s="3"/>
      <c r="E152" s="2"/>
      <c r="F152" s="4"/>
      <c r="G152" s="3"/>
      <c r="H152" s="3"/>
      <c r="I152" s="4"/>
      <c r="J152" s="2"/>
      <c r="K152" s="8"/>
      <c r="L152" s="3"/>
      <c r="M152" s="3"/>
      <c r="N152" s="3"/>
      <c r="O152" t="str">
        <f>IF($N152="Manutenção",COUNTIF($N$3:$N152,"Manutenção"),"")</f>
        <v/>
      </c>
    </row>
    <row r="153" spans="1:15" x14ac:dyDescent="0.25">
      <c r="A153" s="3"/>
      <c r="B153" s="3"/>
      <c r="C153" s="3"/>
      <c r="D153" s="3"/>
      <c r="E153" s="2"/>
      <c r="F153" s="4"/>
      <c r="G153" s="3"/>
      <c r="H153" s="3"/>
      <c r="I153" s="4"/>
      <c r="J153" s="2"/>
      <c r="K153" s="8"/>
      <c r="L153" s="3"/>
      <c r="M153" s="3"/>
      <c r="N153" s="3"/>
      <c r="O153" t="str">
        <f>IF($N153="Manutenção",COUNTIF($N$3:$N153,"Manutenção"),"")</f>
        <v/>
      </c>
    </row>
    <row r="154" spans="1:15" x14ac:dyDescent="0.25">
      <c r="A154" s="3"/>
      <c r="B154" s="3"/>
      <c r="C154" s="3"/>
      <c r="D154" s="3"/>
      <c r="E154" s="2"/>
      <c r="F154" s="4"/>
      <c r="G154" s="3"/>
      <c r="H154" s="3"/>
      <c r="I154" s="4"/>
      <c r="J154" s="2"/>
      <c r="K154" s="8"/>
      <c r="L154" s="3"/>
      <c r="M154" s="3"/>
      <c r="N154" s="3"/>
      <c r="O154" t="str">
        <f>IF($N154="Manutenção",COUNTIF($N$3:$N154,"Manutenção"),"")</f>
        <v/>
      </c>
    </row>
    <row r="155" spans="1:15" x14ac:dyDescent="0.25">
      <c r="A155" s="3"/>
      <c r="B155" s="3"/>
      <c r="C155" s="3"/>
      <c r="D155" s="3"/>
      <c r="E155" s="2"/>
      <c r="F155" s="4"/>
      <c r="G155" s="3"/>
      <c r="H155" s="3"/>
      <c r="I155" s="4"/>
      <c r="J155" s="2"/>
      <c r="K155" s="8"/>
      <c r="L155" s="3"/>
      <c r="M155" s="3"/>
      <c r="N155" s="3"/>
      <c r="O155" t="str">
        <f>IF($N155="Manutenção",COUNTIF($N$3:$N155,"Manutenção"),"")</f>
        <v/>
      </c>
    </row>
    <row r="156" spans="1:15" x14ac:dyDescent="0.25">
      <c r="A156" s="3"/>
      <c r="B156" s="3"/>
      <c r="C156" s="3"/>
      <c r="D156" s="3"/>
      <c r="E156" s="2"/>
      <c r="F156" s="4"/>
      <c r="G156" s="3"/>
      <c r="H156" s="3"/>
      <c r="I156" s="4"/>
      <c r="J156" s="2"/>
      <c r="K156" s="8"/>
      <c r="L156" s="3"/>
      <c r="M156" s="3"/>
      <c r="N156" s="3"/>
      <c r="O156" t="str">
        <f>IF($N156="Manutenção",COUNTIF($N$3:$N156,"Manutenção"),"")</f>
        <v/>
      </c>
    </row>
    <row r="157" spans="1:15" x14ac:dyDescent="0.25">
      <c r="A157" s="3"/>
      <c r="B157" s="3"/>
      <c r="C157" s="3"/>
      <c r="D157" s="3"/>
      <c r="E157" s="2"/>
      <c r="F157" s="4"/>
      <c r="G157" s="3"/>
      <c r="H157" s="3"/>
      <c r="I157" s="4"/>
      <c r="J157" s="2"/>
      <c r="K157" s="8"/>
      <c r="L157" s="3"/>
      <c r="M157" s="3"/>
      <c r="N157" s="3"/>
      <c r="O157" t="str">
        <f>IF($N157="Manutenção",COUNTIF($N$3:$N157,"Manutenção"),"")</f>
        <v/>
      </c>
    </row>
    <row r="158" spans="1:15" x14ac:dyDescent="0.25">
      <c r="A158" s="3"/>
      <c r="B158" s="3"/>
      <c r="C158" s="3"/>
      <c r="D158" s="3"/>
      <c r="E158" s="2"/>
      <c r="F158" s="4"/>
      <c r="G158" s="3"/>
      <c r="H158" s="3"/>
      <c r="I158" s="4"/>
      <c r="J158" s="2"/>
      <c r="K158" s="8"/>
      <c r="L158" s="3"/>
      <c r="M158" s="3"/>
      <c r="N158" s="3"/>
      <c r="O158" t="str">
        <f>IF($N158="Manutenção",COUNTIF($N$3:$N158,"Manutenção"),"")</f>
        <v/>
      </c>
    </row>
    <row r="159" spans="1:15" x14ac:dyDescent="0.25">
      <c r="A159" s="3"/>
      <c r="B159" s="3"/>
      <c r="C159" s="3"/>
      <c r="D159" s="3"/>
      <c r="E159" s="2"/>
      <c r="F159" s="4"/>
      <c r="G159" s="3"/>
      <c r="H159" s="3"/>
      <c r="I159" s="4"/>
      <c r="J159" s="2"/>
      <c r="K159" s="8"/>
      <c r="L159" s="3"/>
      <c r="M159" s="3"/>
      <c r="N159" s="3"/>
      <c r="O159" t="str">
        <f>IF($N159="Manutenção",COUNTIF($N$3:$N159,"Manutenção"),"")</f>
        <v/>
      </c>
    </row>
    <row r="160" spans="1:15" x14ac:dyDescent="0.25">
      <c r="A160" s="3"/>
      <c r="B160" s="3"/>
      <c r="C160" s="3"/>
      <c r="D160" s="3"/>
      <c r="E160" s="2"/>
      <c r="F160" s="4"/>
      <c r="G160" s="3"/>
      <c r="H160" s="3"/>
      <c r="I160" s="4"/>
      <c r="J160" s="2"/>
      <c r="K160" s="8"/>
      <c r="L160" s="3"/>
      <c r="M160" s="3"/>
      <c r="N160" s="3"/>
      <c r="O160" t="str">
        <f>IF($N160="Manutenção",COUNTIF($N$3:$N160,"Manutenção"),"")</f>
        <v/>
      </c>
    </row>
    <row r="161" spans="1:15" x14ac:dyDescent="0.25">
      <c r="A161" s="3"/>
      <c r="B161" s="3"/>
      <c r="C161" s="3"/>
      <c r="D161" s="3"/>
      <c r="E161" s="2"/>
      <c r="F161" s="4"/>
      <c r="G161" s="3"/>
      <c r="H161" s="3"/>
      <c r="I161" s="4"/>
      <c r="J161" s="2"/>
      <c r="K161" s="8"/>
      <c r="L161" s="3"/>
      <c r="M161" s="3"/>
      <c r="N161" s="3"/>
      <c r="O161" t="str">
        <f>IF($N161="Manutenção",COUNTIF($N$3:$N161,"Manutenção"),"")</f>
        <v/>
      </c>
    </row>
    <row r="162" spans="1:15" x14ac:dyDescent="0.25">
      <c r="A162" s="3"/>
      <c r="B162" s="3"/>
      <c r="C162" s="3"/>
      <c r="D162" s="3"/>
      <c r="E162" s="2"/>
      <c r="F162" s="4"/>
      <c r="G162" s="3"/>
      <c r="H162" s="3"/>
      <c r="I162" s="4"/>
      <c r="J162" s="2"/>
      <c r="K162" s="8"/>
      <c r="L162" s="3"/>
      <c r="M162" s="3"/>
      <c r="N162" s="3"/>
      <c r="O162" t="str">
        <f>IF($N162="Manutenção",COUNTIF($N$3:$N162,"Manutenção"),"")</f>
        <v/>
      </c>
    </row>
    <row r="163" spans="1:15" x14ac:dyDescent="0.25">
      <c r="A163" s="3"/>
      <c r="B163" s="3"/>
      <c r="C163" s="3"/>
      <c r="D163" s="3"/>
      <c r="E163" s="2"/>
      <c r="F163" s="4"/>
      <c r="G163" s="3"/>
      <c r="H163" s="3"/>
      <c r="I163" s="4"/>
      <c r="J163" s="2"/>
      <c r="K163" s="8"/>
      <c r="L163" s="3"/>
      <c r="M163" s="3"/>
      <c r="N163" s="3"/>
      <c r="O163" t="str">
        <f>IF($N163="Manutenção",COUNTIF($N$3:$N163,"Manutenção"),"")</f>
        <v/>
      </c>
    </row>
    <row r="164" spans="1:15" x14ac:dyDescent="0.25">
      <c r="A164" s="3"/>
      <c r="B164" s="3"/>
      <c r="C164" s="3"/>
      <c r="D164" s="3"/>
      <c r="E164" s="2"/>
      <c r="F164" s="4"/>
      <c r="G164" s="3"/>
      <c r="H164" s="3"/>
      <c r="I164" s="4"/>
      <c r="J164" s="2"/>
      <c r="K164" s="8"/>
      <c r="L164" s="3"/>
      <c r="M164" s="3"/>
      <c r="N164" s="3"/>
      <c r="O164" t="str">
        <f>IF($N164="Manutenção",COUNTIF($N$3:$N164,"Manutenção"),"")</f>
        <v/>
      </c>
    </row>
    <row r="165" spans="1:15" x14ac:dyDescent="0.25">
      <c r="A165" s="3"/>
      <c r="B165" s="3"/>
      <c r="C165" s="3"/>
      <c r="D165" s="3"/>
      <c r="E165" s="2"/>
      <c r="F165" s="4"/>
      <c r="G165" s="3"/>
      <c r="H165" s="3"/>
      <c r="I165" s="4"/>
      <c r="J165" s="2"/>
      <c r="K165" s="8"/>
      <c r="L165" s="3"/>
      <c r="M165" s="3"/>
      <c r="N165" s="3"/>
      <c r="O165" t="str">
        <f>IF($N165="Manutenção",COUNTIF($N$3:$N165,"Manutenção"),"")</f>
        <v/>
      </c>
    </row>
    <row r="166" spans="1:15" x14ac:dyDescent="0.25">
      <c r="A166" s="3"/>
      <c r="B166" s="3"/>
      <c r="C166" s="3"/>
      <c r="D166" s="3"/>
      <c r="E166" s="2"/>
      <c r="F166" s="4"/>
      <c r="G166" s="3"/>
      <c r="H166" s="3"/>
      <c r="I166" s="4"/>
      <c r="J166" s="2"/>
      <c r="K166" s="8"/>
      <c r="L166" s="3"/>
      <c r="M166" s="3"/>
      <c r="N166" s="3"/>
      <c r="O166" t="str">
        <f>IF($N166="Manutenção",COUNTIF($N$3:$N166,"Manutenção"),"")</f>
        <v/>
      </c>
    </row>
    <row r="167" spans="1:15" x14ac:dyDescent="0.25">
      <c r="A167" s="3"/>
      <c r="B167" s="3"/>
      <c r="C167" s="3"/>
      <c r="D167" s="3"/>
      <c r="E167" s="2"/>
      <c r="F167" s="4"/>
      <c r="G167" s="3"/>
      <c r="H167" s="3"/>
      <c r="I167" s="4"/>
      <c r="J167" s="2"/>
      <c r="K167" s="8"/>
      <c r="L167" s="3"/>
      <c r="M167" s="3"/>
      <c r="N167" s="3"/>
      <c r="O167" t="str">
        <f>IF($N167="Manutenção",COUNTIF($N$3:$N167,"Manutenção"),"")</f>
        <v/>
      </c>
    </row>
    <row r="168" spans="1:15" x14ac:dyDescent="0.25">
      <c r="A168" s="3"/>
      <c r="B168" s="3"/>
      <c r="C168" s="3"/>
      <c r="D168" s="3"/>
      <c r="E168" s="2"/>
      <c r="F168" s="4"/>
      <c r="G168" s="3"/>
      <c r="H168" s="3"/>
      <c r="I168" s="4"/>
      <c r="J168" s="2"/>
      <c r="K168" s="8"/>
      <c r="L168" s="3"/>
      <c r="M168" s="3"/>
      <c r="N168" s="3"/>
      <c r="O168" t="str">
        <f>IF($N168="Manutenção",COUNTIF($N$3:$N168,"Manutenção"),"")</f>
        <v/>
      </c>
    </row>
    <row r="169" spans="1:15" x14ac:dyDescent="0.25">
      <c r="A169" s="3"/>
      <c r="B169" s="3"/>
      <c r="C169" s="3"/>
      <c r="D169" s="3"/>
      <c r="E169" s="2"/>
      <c r="F169" s="4"/>
      <c r="G169" s="3"/>
      <c r="H169" s="3"/>
      <c r="I169" s="4"/>
      <c r="J169" s="2"/>
      <c r="K169" s="8"/>
      <c r="L169" s="3"/>
      <c r="M169" s="3"/>
      <c r="N169" s="3"/>
      <c r="O169" t="str">
        <f>IF($N169="Manutenção",COUNTIF($N$3:$N169,"Manutenção"),"")</f>
        <v/>
      </c>
    </row>
    <row r="170" spans="1:15" x14ac:dyDescent="0.25">
      <c r="A170" s="3"/>
      <c r="B170" s="3"/>
      <c r="C170" s="3"/>
      <c r="D170" s="3"/>
      <c r="E170" s="2"/>
      <c r="F170" s="4"/>
      <c r="G170" s="3"/>
      <c r="H170" s="3"/>
      <c r="I170" s="4"/>
      <c r="J170" s="2"/>
      <c r="K170" s="8"/>
      <c r="L170" s="3"/>
      <c r="M170" s="3"/>
      <c r="N170" s="3"/>
      <c r="O170" t="str">
        <f>IF($N170="Manutenção",COUNTIF($N$3:$N170,"Manutenção"),"")</f>
        <v/>
      </c>
    </row>
    <row r="171" spans="1:15" x14ac:dyDescent="0.25">
      <c r="A171" s="3"/>
      <c r="B171" s="3"/>
      <c r="C171" s="3"/>
      <c r="D171" s="3"/>
      <c r="E171" s="2"/>
      <c r="F171" s="4"/>
      <c r="G171" s="3"/>
      <c r="H171" s="3"/>
      <c r="I171" s="4"/>
      <c r="J171" s="2"/>
      <c r="K171" s="8"/>
      <c r="L171" s="3"/>
      <c r="M171" s="3"/>
      <c r="N171" s="3"/>
      <c r="O171" t="str">
        <f>IF($N171="Manutenção",COUNTIF($N$3:$N171,"Manutenção"),"")</f>
        <v/>
      </c>
    </row>
    <row r="172" spans="1:15" x14ac:dyDescent="0.25">
      <c r="A172" s="3"/>
      <c r="B172" s="3"/>
      <c r="C172" s="3"/>
      <c r="D172" s="3"/>
      <c r="E172" s="2"/>
      <c r="F172" s="4"/>
      <c r="G172" s="3"/>
      <c r="H172" s="3"/>
      <c r="I172" s="4"/>
      <c r="J172" s="2"/>
      <c r="K172" s="8"/>
      <c r="L172" s="3"/>
      <c r="M172" s="3"/>
      <c r="N172" s="3"/>
      <c r="O172" t="str">
        <f>IF($N172="Manutenção",COUNTIF($N$3:$N172,"Manutenção"),"")</f>
        <v/>
      </c>
    </row>
    <row r="173" spans="1:15" x14ac:dyDescent="0.25">
      <c r="A173" s="3"/>
      <c r="B173" s="3"/>
      <c r="C173" s="3"/>
      <c r="D173" s="3"/>
      <c r="E173" s="2"/>
      <c r="F173" s="4"/>
      <c r="G173" s="3"/>
      <c r="H173" s="3"/>
      <c r="I173" s="4"/>
      <c r="J173" s="2"/>
      <c r="K173" s="8"/>
      <c r="L173" s="3"/>
      <c r="M173" s="3"/>
      <c r="N173" s="3"/>
      <c r="O173" t="str">
        <f>IF($N173="Manutenção",COUNTIF($N$3:$N173,"Manutenção"),"")</f>
        <v/>
      </c>
    </row>
    <row r="174" spans="1:15" x14ac:dyDescent="0.25">
      <c r="A174" s="3"/>
      <c r="B174" s="3"/>
      <c r="C174" s="3"/>
      <c r="D174" s="3"/>
      <c r="E174" s="2"/>
      <c r="F174" s="4"/>
      <c r="G174" s="3"/>
      <c r="H174" s="3"/>
      <c r="I174" s="4"/>
      <c r="J174" s="2"/>
      <c r="K174" s="8"/>
      <c r="L174" s="3"/>
      <c r="M174" s="3"/>
      <c r="N174" s="3"/>
      <c r="O174" t="str">
        <f>IF($N174="Manutenção",COUNTIF($N$3:$N174,"Manutenção"),"")</f>
        <v/>
      </c>
    </row>
    <row r="175" spans="1:15" x14ac:dyDescent="0.25">
      <c r="A175" s="3"/>
      <c r="B175" s="3"/>
      <c r="C175" s="3"/>
      <c r="D175" s="3"/>
      <c r="E175" s="2"/>
      <c r="F175" s="4"/>
      <c r="G175" s="3"/>
      <c r="H175" s="3"/>
      <c r="I175" s="4"/>
      <c r="J175" s="2"/>
      <c r="K175" s="8"/>
      <c r="L175" s="3"/>
      <c r="M175" s="3"/>
      <c r="N175" s="3"/>
      <c r="O175" t="str">
        <f>IF($N175="Manutenção",COUNTIF($N$3:$N175,"Manutenção"),"")</f>
        <v/>
      </c>
    </row>
    <row r="176" spans="1:15" x14ac:dyDescent="0.25">
      <c r="A176" s="3"/>
      <c r="B176" s="3"/>
      <c r="C176" s="3"/>
      <c r="D176" s="3"/>
      <c r="E176" s="2"/>
      <c r="F176" s="4"/>
      <c r="G176" s="3"/>
      <c r="H176" s="3"/>
      <c r="I176" s="4"/>
      <c r="J176" s="2"/>
      <c r="K176" s="8"/>
      <c r="L176" s="3"/>
      <c r="M176" s="3"/>
      <c r="N176" s="3"/>
      <c r="O176" t="str">
        <f>IF($N176="Manutenção",COUNTIF($N$3:$N176,"Manutenção"),"")</f>
        <v/>
      </c>
    </row>
    <row r="177" spans="1:15" x14ac:dyDescent="0.25">
      <c r="A177" s="3"/>
      <c r="B177" s="3"/>
      <c r="C177" s="3"/>
      <c r="D177" s="3"/>
      <c r="E177" s="2"/>
      <c r="F177" s="4"/>
      <c r="G177" s="3"/>
      <c r="H177" s="3"/>
      <c r="I177" s="4"/>
      <c r="J177" s="2"/>
      <c r="K177" s="8"/>
      <c r="L177" s="3"/>
      <c r="M177" s="3"/>
      <c r="N177" s="3"/>
      <c r="O177" t="str">
        <f>IF($N177="Manutenção",COUNTIF($N$3:$N177,"Manutenção"),"")</f>
        <v/>
      </c>
    </row>
    <row r="178" spans="1:15" x14ac:dyDescent="0.25">
      <c r="A178" s="3"/>
      <c r="B178" s="3"/>
      <c r="C178" s="3"/>
      <c r="D178" s="3"/>
      <c r="E178" s="2"/>
      <c r="F178" s="4"/>
      <c r="G178" s="3"/>
      <c r="H178" s="3"/>
      <c r="I178" s="4"/>
      <c r="J178" s="2"/>
      <c r="K178" s="8"/>
      <c r="L178" s="3"/>
      <c r="M178" s="3"/>
      <c r="N178" s="3"/>
      <c r="O178" t="str">
        <f>IF($N178="Manutenção",COUNTIF($N$3:$N178,"Manutenção"),"")</f>
        <v/>
      </c>
    </row>
    <row r="179" spans="1:15" x14ac:dyDescent="0.25">
      <c r="A179" s="3"/>
      <c r="B179" s="3"/>
      <c r="C179" s="3"/>
      <c r="D179" s="3"/>
      <c r="E179" s="2"/>
      <c r="F179" s="4"/>
      <c r="G179" s="3"/>
      <c r="H179" s="3"/>
      <c r="I179" s="4"/>
      <c r="J179" s="2"/>
      <c r="K179" s="8"/>
      <c r="L179" s="3"/>
      <c r="M179" s="3"/>
      <c r="N179" s="3"/>
      <c r="O179" t="str">
        <f>IF($N179="Manutenção",COUNTIF($N$3:$N179,"Manutenção"),"")</f>
        <v/>
      </c>
    </row>
    <row r="180" spans="1:15" x14ac:dyDescent="0.25">
      <c r="A180" s="3"/>
      <c r="B180" s="3"/>
      <c r="C180" s="3"/>
      <c r="D180" s="3"/>
      <c r="E180" s="2"/>
      <c r="F180" s="4"/>
      <c r="G180" s="3"/>
      <c r="H180" s="3"/>
      <c r="I180" s="4"/>
      <c r="J180" s="2"/>
      <c r="K180" s="8"/>
      <c r="L180" s="3"/>
      <c r="M180" s="3"/>
      <c r="N180" s="3"/>
      <c r="O180" t="str">
        <f>IF($N180="Manutenção",COUNTIF($N$3:$N180,"Manutenção"),"")</f>
        <v/>
      </c>
    </row>
    <row r="181" spans="1:15" x14ac:dyDescent="0.25">
      <c r="A181" s="3"/>
      <c r="B181" s="3"/>
      <c r="C181" s="3"/>
      <c r="D181" s="3"/>
      <c r="E181" s="2"/>
      <c r="F181" s="4"/>
      <c r="G181" s="3"/>
      <c r="H181" s="3"/>
      <c r="I181" s="4"/>
      <c r="J181" s="2"/>
      <c r="K181" s="8"/>
      <c r="L181" s="3"/>
      <c r="M181" s="3"/>
      <c r="N181" s="3"/>
      <c r="O181" t="str">
        <f>IF($N181="Manutenção",COUNTIF($N$3:$N181,"Manutenção"),"")</f>
        <v/>
      </c>
    </row>
    <row r="182" spans="1:15" x14ac:dyDescent="0.25">
      <c r="A182" s="3"/>
      <c r="B182" s="3"/>
      <c r="C182" s="3"/>
      <c r="D182" s="3"/>
      <c r="E182" s="2"/>
      <c r="F182" s="4"/>
      <c r="G182" s="3"/>
      <c r="H182" s="3"/>
      <c r="I182" s="4"/>
      <c r="J182" s="2"/>
      <c r="K182" s="8"/>
      <c r="L182" s="3"/>
      <c r="M182" s="3"/>
      <c r="N182" s="3"/>
      <c r="O182" t="str">
        <f>IF($N182="Manutenção",COUNTIF($N$3:$N182,"Manutenção"),"")</f>
        <v/>
      </c>
    </row>
    <row r="183" spans="1:15" x14ac:dyDescent="0.25">
      <c r="A183" s="3"/>
      <c r="B183" s="3"/>
      <c r="C183" s="3"/>
      <c r="D183" s="3"/>
      <c r="E183" s="2"/>
      <c r="F183" s="4"/>
      <c r="G183" s="3"/>
      <c r="H183" s="3"/>
      <c r="I183" s="4"/>
      <c r="J183" s="2"/>
      <c r="K183" s="8"/>
      <c r="L183" s="3"/>
      <c r="M183" s="3"/>
      <c r="N183" s="3"/>
      <c r="O183" t="str">
        <f>IF($N183="Manutenção",COUNTIF($N$3:$N183,"Manutenção"),"")</f>
        <v/>
      </c>
    </row>
    <row r="184" spans="1:15" x14ac:dyDescent="0.25">
      <c r="A184" s="3"/>
      <c r="B184" s="3"/>
      <c r="C184" s="3"/>
      <c r="D184" s="3"/>
      <c r="E184" s="2"/>
      <c r="F184" s="4"/>
      <c r="G184" s="3"/>
      <c r="H184" s="3"/>
      <c r="I184" s="4"/>
      <c r="J184" s="2"/>
      <c r="K184" s="8"/>
      <c r="L184" s="3"/>
      <c r="M184" s="3"/>
      <c r="N184" s="3"/>
      <c r="O184" t="str">
        <f>IF($N184="Manutenção",COUNTIF($N$3:$N184,"Manutenção"),"")</f>
        <v/>
      </c>
    </row>
    <row r="185" spans="1:15" x14ac:dyDescent="0.25">
      <c r="A185" s="3"/>
      <c r="B185" s="3"/>
      <c r="C185" s="3"/>
      <c r="D185" s="3"/>
      <c r="E185" s="2"/>
      <c r="F185" s="4"/>
      <c r="G185" s="3"/>
      <c r="H185" s="3"/>
      <c r="I185" s="4"/>
      <c r="J185" s="2"/>
      <c r="K185" s="8"/>
      <c r="L185" s="3"/>
      <c r="M185" s="3"/>
      <c r="N185" s="3"/>
      <c r="O185" t="str">
        <f>IF($N185="Manutenção",COUNTIF($N$3:$N185,"Manutenção"),"")</f>
        <v/>
      </c>
    </row>
    <row r="186" spans="1:15" x14ac:dyDescent="0.25">
      <c r="A186" s="3"/>
      <c r="B186" s="3"/>
      <c r="C186" s="3"/>
      <c r="D186" s="3"/>
      <c r="E186" s="2"/>
      <c r="F186" s="4"/>
      <c r="G186" s="3"/>
      <c r="H186" s="3"/>
      <c r="I186" s="4"/>
      <c r="J186" s="2"/>
      <c r="K186" s="8"/>
      <c r="L186" s="3"/>
      <c r="M186" s="3"/>
      <c r="N186" s="3"/>
      <c r="O186" t="str">
        <f>IF($N186="Manutenção",COUNTIF($N$3:$N186,"Manutenção"),"")</f>
        <v/>
      </c>
    </row>
    <row r="187" spans="1:15" x14ac:dyDescent="0.25">
      <c r="A187" s="3"/>
      <c r="B187" s="3"/>
      <c r="C187" s="3"/>
      <c r="D187" s="3"/>
      <c r="E187" s="2"/>
      <c r="F187" s="4"/>
      <c r="G187" s="3"/>
      <c r="H187" s="3"/>
      <c r="I187" s="4"/>
      <c r="J187" s="2"/>
      <c r="K187" s="8"/>
      <c r="L187" s="3"/>
      <c r="M187" s="3"/>
      <c r="N187" s="3"/>
      <c r="O187" t="str">
        <f>IF($N187="Manutenção",COUNTIF($N$3:$N187,"Manutenção"),"")</f>
        <v/>
      </c>
    </row>
    <row r="188" spans="1:15" x14ac:dyDescent="0.25">
      <c r="A188" s="3"/>
      <c r="B188" s="3"/>
      <c r="C188" s="3"/>
      <c r="D188" s="3"/>
      <c r="E188" s="2"/>
      <c r="F188" s="4"/>
      <c r="G188" s="3"/>
      <c r="H188" s="3"/>
      <c r="I188" s="4"/>
      <c r="J188" s="2"/>
      <c r="K188" s="8"/>
      <c r="L188" s="3"/>
      <c r="M188" s="3"/>
      <c r="N188" s="3"/>
      <c r="O188" t="str">
        <f>IF($N188="Manutenção",COUNTIF($N$3:$N188,"Manutenção"),"")</f>
        <v/>
      </c>
    </row>
    <row r="189" spans="1:15" x14ac:dyDescent="0.25">
      <c r="A189" s="3"/>
      <c r="B189" s="3"/>
      <c r="C189" s="3"/>
      <c r="D189" s="3"/>
      <c r="E189" s="2"/>
      <c r="F189" s="4"/>
      <c r="G189" s="3"/>
      <c r="H189" s="3"/>
      <c r="I189" s="4"/>
      <c r="J189" s="2"/>
      <c r="K189" s="8"/>
      <c r="L189" s="3"/>
      <c r="M189" s="3"/>
      <c r="N189" s="3"/>
      <c r="O189" t="str">
        <f>IF($N189="Manutenção",COUNTIF($N$3:$N189,"Manutenção"),"")</f>
        <v/>
      </c>
    </row>
    <row r="190" spans="1:15" x14ac:dyDescent="0.25">
      <c r="A190" s="3"/>
      <c r="B190" s="3"/>
      <c r="C190" s="3"/>
      <c r="D190" s="3"/>
      <c r="E190" s="2"/>
      <c r="F190" s="4"/>
      <c r="G190" s="3"/>
      <c r="H190" s="3"/>
      <c r="I190" s="4"/>
      <c r="J190" s="2"/>
      <c r="K190" s="8"/>
      <c r="L190" s="3"/>
      <c r="M190" s="3"/>
      <c r="N190" s="3"/>
      <c r="O190" t="str">
        <f>IF($N190="Manutenção",COUNTIF($N$3:$N190,"Manutenção"),"")</f>
        <v/>
      </c>
    </row>
    <row r="191" spans="1:15" x14ac:dyDescent="0.25">
      <c r="A191" s="3"/>
      <c r="B191" s="3"/>
      <c r="C191" s="3"/>
      <c r="D191" s="3"/>
      <c r="E191" s="2"/>
      <c r="F191" s="4"/>
      <c r="G191" s="3"/>
      <c r="H191" s="3"/>
      <c r="I191" s="4"/>
      <c r="J191" s="2"/>
      <c r="K191" s="8"/>
      <c r="L191" s="3"/>
      <c r="M191" s="3"/>
      <c r="N191" s="3"/>
      <c r="O191" t="str">
        <f>IF($N191="Manutenção",COUNTIF($N$3:$N191,"Manutenção"),"")</f>
        <v/>
      </c>
    </row>
    <row r="192" spans="1:15" x14ac:dyDescent="0.25">
      <c r="A192" s="3"/>
      <c r="B192" s="3"/>
      <c r="C192" s="3"/>
      <c r="D192" s="3"/>
      <c r="E192" s="2"/>
      <c r="F192" s="4"/>
      <c r="G192" s="3"/>
      <c r="H192" s="3"/>
      <c r="I192" s="4"/>
      <c r="J192" s="2"/>
      <c r="K192" s="8"/>
      <c r="L192" s="3"/>
      <c r="M192" s="3"/>
      <c r="N192" s="3"/>
      <c r="O192" t="str">
        <f>IF($N192="Manutenção",COUNTIF($N$3:$N192,"Manutenção"),"")</f>
        <v/>
      </c>
    </row>
    <row r="193" spans="1:15" x14ac:dyDescent="0.25">
      <c r="A193" s="3"/>
      <c r="B193" s="3"/>
      <c r="C193" s="3"/>
      <c r="D193" s="3"/>
      <c r="E193" s="2"/>
      <c r="F193" s="4"/>
      <c r="G193" s="3"/>
      <c r="H193" s="3"/>
      <c r="I193" s="4"/>
      <c r="J193" s="2"/>
      <c r="K193" s="8"/>
      <c r="L193" s="3"/>
      <c r="M193" s="3"/>
      <c r="N193" s="3"/>
      <c r="O193" t="str">
        <f>IF($N193="Manutenção",COUNTIF($N$3:$N193,"Manutenção"),"")</f>
        <v/>
      </c>
    </row>
    <row r="194" spans="1:15" x14ac:dyDescent="0.25">
      <c r="A194" s="3"/>
      <c r="B194" s="3"/>
      <c r="C194" s="3"/>
      <c r="D194" s="3"/>
      <c r="E194" s="2"/>
      <c r="F194" s="4"/>
      <c r="G194" s="3"/>
      <c r="H194" s="3"/>
      <c r="I194" s="4"/>
      <c r="J194" s="2"/>
      <c r="K194" s="8"/>
      <c r="L194" s="3"/>
      <c r="M194" s="3"/>
      <c r="N194" s="3"/>
      <c r="O194" t="str">
        <f>IF($N194="Manutenção",COUNTIF($N$3:$N194,"Manutenção"),"")</f>
        <v/>
      </c>
    </row>
    <row r="195" spans="1:15" x14ac:dyDescent="0.25">
      <c r="A195" s="3"/>
      <c r="B195" s="3"/>
      <c r="C195" s="3"/>
      <c r="D195" s="3"/>
      <c r="E195" s="2"/>
      <c r="F195" s="4"/>
      <c r="G195" s="3"/>
      <c r="H195" s="3"/>
      <c r="I195" s="4"/>
      <c r="J195" s="2"/>
      <c r="K195" s="8"/>
      <c r="L195" s="3"/>
      <c r="M195" s="3"/>
      <c r="N195" s="3"/>
      <c r="O195" t="str">
        <f>IF($N195="Manutenção",COUNTIF($N$3:$N195,"Manutenção"),"")</f>
        <v/>
      </c>
    </row>
    <row r="199" spans="1:15" x14ac:dyDescent="0.25">
      <c r="A199" s="57" t="s">
        <v>61</v>
      </c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</row>
    <row r="200" spans="1:15" ht="15" customHeight="1" x14ac:dyDescent="0.25">
      <c r="A200" s="58" t="s">
        <v>62</v>
      </c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</row>
    <row r="201" spans="1:15" x14ac:dyDescent="0.25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</row>
    <row r="202" spans="1:15" x14ac:dyDescent="0.25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</row>
    <row r="203" spans="1:15" x14ac:dyDescent="0.25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</row>
    <row r="204" spans="1:15" x14ac:dyDescent="0.25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</row>
    <row r="205" spans="1:15" x14ac:dyDescent="0.25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</row>
    <row r="206" spans="1:15" x14ac:dyDescent="0.25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</row>
    <row r="207" spans="1:15" x14ac:dyDescent="0.25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</row>
  </sheetData>
  <mergeCells count="25">
    <mergeCell ref="A1:N1"/>
    <mergeCell ref="A199:N199"/>
    <mergeCell ref="A200:N207"/>
    <mergeCell ref="B56:C56"/>
    <mergeCell ref="B57:C57"/>
    <mergeCell ref="B64:C64"/>
    <mergeCell ref="B65:C65"/>
    <mergeCell ref="B67:C67"/>
    <mergeCell ref="B70:C70"/>
    <mergeCell ref="B71:C71"/>
    <mergeCell ref="B72:C72"/>
    <mergeCell ref="B73:C73"/>
    <mergeCell ref="B74:C74"/>
    <mergeCell ref="B75:C75"/>
    <mergeCell ref="B77:C77"/>
    <mergeCell ref="B78:C78"/>
    <mergeCell ref="B90:C90"/>
    <mergeCell ref="B91:C91"/>
    <mergeCell ref="B93:C93"/>
    <mergeCell ref="B94:C94"/>
    <mergeCell ref="B79:C79"/>
    <mergeCell ref="B83:C83"/>
    <mergeCell ref="B84:C84"/>
    <mergeCell ref="B85:C85"/>
    <mergeCell ref="B88:C88"/>
  </mergeCells>
  <dataValidations count="5">
    <dataValidation type="list" allowBlank="1" sqref="D3:D5 D51:D195 C3:C195" xr:uid="{00000000-0002-0000-0200-000000000000}">
      <formula1>"Elétrica,Hidráulica,Alvenaria/Estrutura,Segurança (EPI),Movimentação de Carga,Pintura/Acabamento,Outros"</formula1>
      <formula2>0</formula2>
    </dataValidation>
    <dataValidation type="list" allowBlank="1" sqref="J3:J195" xr:uid="{00000000-0002-0000-0200-000003000000}">
      <formula1>"Sim,Não"</formula1>
      <formula2>0</formula2>
    </dataValidation>
    <dataValidation type="list" allowBlank="1" sqref="M3:M195" xr:uid="{00000000-0002-0000-0200-000004000000}">
      <formula1>"Ferragens União,Construmax Materiais,Ferramentas Tork Distribuidora,Elétrica Sul Ltda,EPI Total Equipamentos,Outro"</formula1>
      <formula2>0</formula2>
    </dataValidation>
    <dataValidation type="list" allowBlank="1" sqref="N3:N195" xr:uid="{00000000-0002-0000-0200-000005000000}">
      <formula1>"Em uso,Em estoque,Manutenção,Baixado"</formula1>
      <formula2>0</formula2>
    </dataValidation>
    <dataValidation type="list" allowBlank="1" sqref="D6:D50 G1:H1048576" xr:uid="{7BF9F5F7-9EB8-4670-B9AF-7C6803407232}">
      <formula1>"Dialogo Alvaro Ramos,Obra P.Raposo,JVM Casa Alba,Estoque Brito"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18"/>
  <sheetViews>
    <sheetView showGridLines="0" tabSelected="1" topLeftCell="B1" zoomScaleNormal="100" workbookViewId="0">
      <pane ySplit="1" topLeftCell="A15" activePane="bottomLeft" state="frozen"/>
      <selection activeCell="B1" sqref="B1"/>
      <selection pane="bottomLeft" activeCell="B32" sqref="B32"/>
    </sheetView>
  </sheetViews>
  <sheetFormatPr defaultColWidth="8.7109375" defaultRowHeight="15" x14ac:dyDescent="0.25"/>
  <cols>
    <col min="1" max="1" width="16" hidden="1" customWidth="1"/>
    <col min="2" max="2" width="56.85546875" customWidth="1"/>
    <col min="3" max="3" width="15" customWidth="1"/>
    <col min="4" max="6" width="13" customWidth="1"/>
    <col min="7" max="7" width="10.42578125" customWidth="1"/>
    <col min="8" max="8" width="16.85546875" customWidth="1"/>
    <col min="9" max="9" width="19.140625" customWidth="1"/>
    <col min="10" max="10" width="11" customWidth="1"/>
    <col min="11" max="12" width="13" customWidth="1"/>
    <col min="13" max="13" width="23.5703125" customWidth="1"/>
    <col min="14" max="14" width="13" hidden="1" customWidth="1"/>
  </cols>
  <sheetData>
    <row r="1" spans="1:14" ht="25.5" customHeight="1" x14ac:dyDescent="0.25">
      <c r="A1" s="78" t="s">
        <v>63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1:14" ht="38.25" x14ac:dyDescent="0.25">
      <c r="A2" s="1" t="s">
        <v>23</v>
      </c>
      <c r="B2" s="12" t="s">
        <v>51</v>
      </c>
      <c r="C2" s="1" t="s">
        <v>52</v>
      </c>
      <c r="D2" s="1" t="s">
        <v>53</v>
      </c>
      <c r="E2" s="1" t="s">
        <v>59</v>
      </c>
      <c r="F2" s="1" t="s">
        <v>58</v>
      </c>
      <c r="G2" s="1" t="s">
        <v>184</v>
      </c>
      <c r="H2" s="1" t="s">
        <v>60</v>
      </c>
      <c r="I2" s="1" t="s">
        <v>55</v>
      </c>
      <c r="J2" s="1" t="s">
        <v>56</v>
      </c>
      <c r="K2" s="25" t="s">
        <v>161</v>
      </c>
      <c r="L2" s="1" t="s">
        <v>185</v>
      </c>
      <c r="M2" s="1" t="s">
        <v>55</v>
      </c>
    </row>
    <row r="3" spans="1:14" x14ac:dyDescent="0.25">
      <c r="A3" s="3"/>
      <c r="B3" s="13" t="s">
        <v>90</v>
      </c>
      <c r="C3" s="2"/>
      <c r="D3" s="4"/>
      <c r="E3" s="3"/>
      <c r="F3" s="8"/>
      <c r="G3" s="3"/>
      <c r="H3" s="3"/>
      <c r="I3" s="3"/>
      <c r="J3" s="4"/>
      <c r="K3" s="2">
        <v>1</v>
      </c>
      <c r="L3" s="2"/>
      <c r="M3" s="3"/>
      <c r="N3" t="str">
        <f>IF($M3="Manutenção",COUNTIF($M$3:$M3,"Manutenção"),"")</f>
        <v/>
      </c>
    </row>
    <row r="4" spans="1:14" x14ac:dyDescent="0.25">
      <c r="A4" s="3"/>
      <c r="B4" s="13" t="s">
        <v>91</v>
      </c>
      <c r="C4" s="2"/>
      <c r="D4" s="4">
        <v>45793</v>
      </c>
      <c r="E4" s="2">
        <v>564538</v>
      </c>
      <c r="F4" s="8">
        <v>1490</v>
      </c>
      <c r="G4" s="3"/>
      <c r="H4" s="41" t="s">
        <v>158</v>
      </c>
      <c r="I4" s="3"/>
      <c r="J4" s="4"/>
      <c r="K4" s="2">
        <v>1</v>
      </c>
      <c r="L4" s="2"/>
      <c r="M4" s="3"/>
      <c r="N4" t="str">
        <f>IF($M4="Manutenção",COUNTIF($M$3:$M4,"Manutenção"),"")</f>
        <v/>
      </c>
    </row>
    <row r="5" spans="1:14" x14ac:dyDescent="0.25">
      <c r="A5" s="3"/>
      <c r="B5" s="13" t="s">
        <v>92</v>
      </c>
      <c r="C5" s="2"/>
      <c r="D5" s="4"/>
      <c r="E5" s="2"/>
      <c r="F5" s="8"/>
      <c r="G5" s="2">
        <v>1</v>
      </c>
      <c r="H5" s="3"/>
      <c r="I5" s="45" t="s">
        <v>165</v>
      </c>
      <c r="J5" s="4"/>
      <c r="K5" s="2">
        <v>1</v>
      </c>
      <c r="L5" s="2"/>
      <c r="M5" s="3"/>
      <c r="N5" t="str">
        <f>IF($M5="Manutenção",COUNTIF($M$3:$M5,"Manutenção"),"")</f>
        <v/>
      </c>
    </row>
    <row r="6" spans="1:14" x14ac:dyDescent="0.25">
      <c r="A6" s="3"/>
      <c r="B6" s="14" t="s">
        <v>96</v>
      </c>
      <c r="C6" s="2"/>
      <c r="D6" s="4"/>
      <c r="E6" s="2"/>
      <c r="F6" s="8"/>
      <c r="G6" s="3"/>
      <c r="H6" s="3"/>
      <c r="I6" s="3"/>
      <c r="J6" s="4"/>
      <c r="K6" s="2"/>
      <c r="L6" s="2"/>
      <c r="M6" s="3"/>
      <c r="N6" t="str">
        <f>IF($M6="Manutenção",COUNTIF($M$3:$M6,"Manutenção"),"")</f>
        <v/>
      </c>
    </row>
    <row r="7" spans="1:14" x14ac:dyDescent="0.25">
      <c r="A7" s="3"/>
      <c r="B7" s="14" t="s">
        <v>97</v>
      </c>
      <c r="C7" s="2"/>
      <c r="D7" s="4"/>
      <c r="E7" s="2"/>
      <c r="F7" s="8"/>
      <c r="G7" s="3"/>
      <c r="H7" s="3"/>
      <c r="I7" s="3"/>
      <c r="J7" s="4"/>
      <c r="K7" s="2"/>
      <c r="L7" s="2"/>
      <c r="M7" s="3"/>
      <c r="N7" t="str">
        <f>IF($M7="Manutenção",COUNTIF($M$3:$M7,"Manutenção"),"")</f>
        <v/>
      </c>
    </row>
    <row r="8" spans="1:14" x14ac:dyDescent="0.25">
      <c r="A8" s="3"/>
      <c r="B8" s="14" t="s">
        <v>101</v>
      </c>
      <c r="C8" s="2"/>
      <c r="D8" s="4">
        <v>45464</v>
      </c>
      <c r="E8" s="2">
        <v>529028</v>
      </c>
      <c r="F8" s="8">
        <v>334</v>
      </c>
      <c r="G8" s="2">
        <v>1</v>
      </c>
      <c r="H8" s="41" t="s">
        <v>158</v>
      </c>
      <c r="I8" s="40" t="s">
        <v>129</v>
      </c>
      <c r="J8" s="40"/>
      <c r="K8" s="2"/>
      <c r="L8" s="2">
        <v>1</v>
      </c>
      <c r="M8" s="41" t="s">
        <v>129</v>
      </c>
    </row>
    <row r="9" spans="1:14" x14ac:dyDescent="0.25">
      <c r="A9" s="3"/>
      <c r="B9" s="14" t="s">
        <v>101</v>
      </c>
      <c r="C9" s="2"/>
      <c r="D9" s="4"/>
      <c r="E9" s="2"/>
      <c r="F9" s="8"/>
      <c r="G9" s="2">
        <v>1</v>
      </c>
      <c r="H9" s="41" t="s">
        <v>158</v>
      </c>
      <c r="I9" s="2"/>
      <c r="J9" s="44">
        <v>46269</v>
      </c>
      <c r="K9" s="2"/>
      <c r="L9" s="2">
        <v>1</v>
      </c>
      <c r="M9" s="42" t="s">
        <v>162</v>
      </c>
    </row>
    <row r="10" spans="1:14" x14ac:dyDescent="0.25">
      <c r="A10" s="3"/>
      <c r="B10" s="14" t="s">
        <v>101</v>
      </c>
      <c r="C10" s="79" t="s">
        <v>181</v>
      </c>
      <c r="D10" s="4">
        <v>46268</v>
      </c>
      <c r="E10" s="2">
        <v>611844</v>
      </c>
      <c r="F10" s="8"/>
      <c r="G10" s="2">
        <v>1</v>
      </c>
      <c r="H10" s="41" t="s">
        <v>158</v>
      </c>
      <c r="I10" s="2"/>
      <c r="J10" s="4"/>
      <c r="K10" s="2"/>
      <c r="L10" s="2"/>
      <c r="M10" s="3"/>
    </row>
    <row r="11" spans="1:14" x14ac:dyDescent="0.25">
      <c r="A11" s="3"/>
      <c r="B11" s="14"/>
      <c r="C11" s="79"/>
      <c r="D11" s="4"/>
      <c r="E11" s="2"/>
      <c r="F11" s="8"/>
      <c r="G11" s="3"/>
      <c r="H11" s="41"/>
      <c r="I11" s="2"/>
      <c r="J11" s="4"/>
      <c r="K11" s="2"/>
      <c r="L11" s="2"/>
      <c r="M11" s="3"/>
    </row>
    <row r="12" spans="1:14" x14ac:dyDescent="0.25">
      <c r="A12" s="3"/>
      <c r="B12" s="13" t="s">
        <v>102</v>
      </c>
      <c r="C12" s="2"/>
      <c r="D12" s="4"/>
      <c r="E12" s="2"/>
      <c r="F12" s="8"/>
      <c r="G12" s="2">
        <v>1</v>
      </c>
      <c r="H12" s="41"/>
      <c r="I12" s="40" t="s">
        <v>129</v>
      </c>
      <c r="J12" s="2"/>
      <c r="K12" s="2">
        <v>1</v>
      </c>
      <c r="L12" s="2">
        <v>1</v>
      </c>
      <c r="M12" s="41" t="s">
        <v>129</v>
      </c>
    </row>
    <row r="13" spans="1:14" x14ac:dyDescent="0.25">
      <c r="A13" s="3"/>
      <c r="B13" s="16" t="s">
        <v>77</v>
      </c>
      <c r="C13" s="2"/>
      <c r="D13" s="4"/>
      <c r="E13" s="2"/>
      <c r="F13" s="8"/>
      <c r="G13" s="2"/>
      <c r="H13" s="41"/>
      <c r="I13" s="2"/>
      <c r="J13" s="2"/>
      <c r="K13" s="2"/>
      <c r="L13" s="2"/>
      <c r="M13" s="3"/>
    </row>
    <row r="14" spans="1:14" x14ac:dyDescent="0.25">
      <c r="A14" s="3"/>
      <c r="B14" s="15" t="s">
        <v>159</v>
      </c>
      <c r="C14" s="2"/>
      <c r="D14" s="4">
        <v>45464</v>
      </c>
      <c r="E14" s="2">
        <v>529028</v>
      </c>
      <c r="F14" s="8">
        <v>783</v>
      </c>
      <c r="G14" s="2">
        <v>1</v>
      </c>
      <c r="H14" s="41" t="s">
        <v>158</v>
      </c>
      <c r="I14" s="40" t="s">
        <v>129</v>
      </c>
      <c r="J14" s="2"/>
      <c r="K14" s="2"/>
      <c r="L14" s="2">
        <v>1</v>
      </c>
      <c r="M14" s="41" t="s">
        <v>129</v>
      </c>
      <c r="N14" t="str">
        <f>IF($M14="Manutenção",COUNTIF($M$3:$M14,"Manutenção"),"")</f>
        <v/>
      </c>
    </row>
    <row r="15" spans="1:14" x14ac:dyDescent="0.25">
      <c r="A15" s="3"/>
      <c r="B15" s="15" t="s">
        <v>159</v>
      </c>
      <c r="C15" s="2"/>
      <c r="D15" s="4"/>
      <c r="E15" s="2"/>
      <c r="F15" s="8"/>
      <c r="G15" s="2">
        <v>1</v>
      </c>
      <c r="H15" s="41" t="s">
        <v>158</v>
      </c>
      <c r="I15" s="40" t="s">
        <v>129</v>
      </c>
      <c r="J15" s="2"/>
      <c r="K15" s="2"/>
      <c r="L15" s="2">
        <v>1</v>
      </c>
      <c r="M15" s="3"/>
    </row>
    <row r="16" spans="1:14" x14ac:dyDescent="0.25">
      <c r="A16" s="3"/>
      <c r="B16" s="15" t="s">
        <v>159</v>
      </c>
      <c r="C16" s="2"/>
      <c r="D16" s="4"/>
      <c r="E16" s="2"/>
      <c r="F16" s="8"/>
      <c r="G16" s="43">
        <v>1</v>
      </c>
      <c r="H16" s="41" t="s">
        <v>158</v>
      </c>
      <c r="I16" s="2"/>
      <c r="J16" s="44">
        <v>46269</v>
      </c>
      <c r="K16" s="2"/>
      <c r="L16" s="2"/>
      <c r="M16" s="42" t="s">
        <v>162</v>
      </c>
    </row>
    <row r="17" spans="1:14" x14ac:dyDescent="0.25">
      <c r="A17" s="3"/>
      <c r="B17" s="15" t="s">
        <v>159</v>
      </c>
      <c r="C17" s="79" t="s">
        <v>181</v>
      </c>
      <c r="D17" s="4">
        <v>46268</v>
      </c>
      <c r="E17" s="2">
        <v>611844</v>
      </c>
      <c r="F17" s="8">
        <v>840.36</v>
      </c>
      <c r="G17" s="2">
        <v>3</v>
      </c>
      <c r="H17" s="41" t="s">
        <v>158</v>
      </c>
      <c r="I17" s="2" t="s">
        <v>183</v>
      </c>
      <c r="J17" s="4">
        <v>46274</v>
      </c>
      <c r="K17" s="2">
        <f>G17-L17</f>
        <v>2</v>
      </c>
      <c r="L17" s="2">
        <v>1</v>
      </c>
      <c r="M17" s="2" t="s">
        <v>183</v>
      </c>
    </row>
    <row r="18" spans="1:14" x14ac:dyDescent="0.25">
      <c r="A18" s="3"/>
      <c r="B18" s="15"/>
      <c r="C18" s="79"/>
      <c r="D18" s="4"/>
      <c r="E18" s="2"/>
      <c r="F18" s="8"/>
      <c r="G18" s="3"/>
      <c r="H18" s="41"/>
      <c r="I18" s="2"/>
      <c r="J18" s="4"/>
      <c r="K18" s="2"/>
      <c r="L18" s="2"/>
      <c r="M18" s="3"/>
    </row>
    <row r="19" spans="1:14" x14ac:dyDescent="0.25">
      <c r="A19" s="3"/>
      <c r="B19" s="17" t="s">
        <v>160</v>
      </c>
      <c r="C19" s="2"/>
      <c r="D19" s="4">
        <v>45770</v>
      </c>
      <c r="E19" s="2">
        <v>561917</v>
      </c>
      <c r="F19" s="8">
        <v>472.85</v>
      </c>
      <c r="G19" s="3">
        <v>1</v>
      </c>
      <c r="H19" s="41" t="s">
        <v>158</v>
      </c>
      <c r="I19" s="45" t="s">
        <v>163</v>
      </c>
      <c r="J19" s="4">
        <v>46289</v>
      </c>
      <c r="K19" s="2"/>
      <c r="L19" s="2">
        <v>1</v>
      </c>
      <c r="M19" s="3" t="s">
        <v>163</v>
      </c>
    </row>
    <row r="20" spans="1:14" x14ac:dyDescent="0.25">
      <c r="A20" s="3"/>
      <c r="B20" s="17" t="s">
        <v>160</v>
      </c>
      <c r="C20" s="2"/>
      <c r="D20" s="4">
        <v>45770</v>
      </c>
      <c r="E20" s="2">
        <v>561917</v>
      </c>
      <c r="F20" s="8">
        <v>472.85</v>
      </c>
      <c r="G20" s="3">
        <v>1</v>
      </c>
      <c r="H20" s="41" t="s">
        <v>158</v>
      </c>
      <c r="I20" s="2" t="s">
        <v>182</v>
      </c>
      <c r="J20" s="4"/>
      <c r="K20" s="2">
        <v>1</v>
      </c>
      <c r="L20" s="2"/>
      <c r="M20" s="3"/>
    </row>
    <row r="21" spans="1:14" x14ac:dyDescent="0.25">
      <c r="A21" s="3"/>
      <c r="B21" s="17" t="s">
        <v>160</v>
      </c>
      <c r="C21" s="2"/>
      <c r="D21" s="4"/>
      <c r="E21" s="3"/>
      <c r="F21" s="8"/>
      <c r="G21" s="3">
        <v>1</v>
      </c>
      <c r="H21" s="3"/>
      <c r="I21" s="45" t="s">
        <v>164</v>
      </c>
      <c r="J21" s="4"/>
      <c r="K21" s="2">
        <v>1</v>
      </c>
      <c r="L21" s="2"/>
      <c r="M21" s="3"/>
    </row>
    <row r="22" spans="1:14" x14ac:dyDescent="0.25">
      <c r="A22" s="3"/>
      <c r="B22" s="17" t="s">
        <v>160</v>
      </c>
      <c r="C22" s="2"/>
      <c r="D22" s="4"/>
      <c r="E22" s="3"/>
      <c r="F22" s="3"/>
      <c r="G22" s="3">
        <v>1</v>
      </c>
      <c r="H22" s="3"/>
      <c r="I22" s="45" t="s">
        <v>164</v>
      </c>
      <c r="J22" s="4"/>
      <c r="K22" s="2">
        <v>1</v>
      </c>
      <c r="L22" s="2"/>
      <c r="M22" s="3"/>
    </row>
    <row r="23" spans="1:14" x14ac:dyDescent="0.25">
      <c r="A23" s="3"/>
      <c r="B23" s="17" t="s">
        <v>160</v>
      </c>
      <c r="C23" s="2"/>
      <c r="D23" s="4"/>
      <c r="E23" s="3"/>
      <c r="F23" s="3"/>
      <c r="G23" s="3">
        <v>1</v>
      </c>
      <c r="H23" s="3"/>
      <c r="I23" s="2"/>
      <c r="J23" s="44">
        <v>46269</v>
      </c>
      <c r="K23" s="2"/>
      <c r="L23" s="2"/>
      <c r="M23" s="42" t="s">
        <v>162</v>
      </c>
      <c r="N23" t="str">
        <f>IF($M23="Manutenção",COUNTIF($M$3:$M23,"Manutenção"),"")</f>
        <v/>
      </c>
    </row>
    <row r="24" spans="1:14" x14ac:dyDescent="0.25">
      <c r="A24" s="3"/>
      <c r="B24" s="80"/>
      <c r="C24" s="2"/>
      <c r="D24" s="4"/>
      <c r="E24" s="3"/>
      <c r="F24" s="3"/>
      <c r="G24" s="3"/>
      <c r="H24" s="3"/>
      <c r="I24" s="2"/>
      <c r="J24" s="44"/>
      <c r="K24" s="2"/>
      <c r="L24" s="2"/>
      <c r="M24" s="42"/>
    </row>
    <row r="25" spans="1:14" x14ac:dyDescent="0.25">
      <c r="A25" s="3"/>
      <c r="B25" s="15" t="s">
        <v>104</v>
      </c>
      <c r="C25" s="2"/>
      <c r="D25" s="4"/>
      <c r="E25" s="3"/>
      <c r="F25" s="3"/>
      <c r="G25" s="3"/>
      <c r="H25" s="3"/>
      <c r="I25" s="2"/>
      <c r="J25" s="4"/>
      <c r="K25" s="2"/>
      <c r="L25" s="2"/>
      <c r="M25" s="3"/>
      <c r="N25" t="str">
        <f>IF($M25="Manutenção",COUNTIF($M$3:$M25,"Manutenção"),"")</f>
        <v/>
      </c>
    </row>
    <row r="26" spans="1:14" x14ac:dyDescent="0.25">
      <c r="A26" s="3"/>
      <c r="B26" s="15" t="s">
        <v>105</v>
      </c>
      <c r="C26" s="2"/>
      <c r="D26" s="4"/>
      <c r="E26" s="4"/>
      <c r="F26" s="4"/>
      <c r="G26" s="2">
        <v>1</v>
      </c>
      <c r="H26" s="3"/>
      <c r="I26" s="45" t="s">
        <v>165</v>
      </c>
      <c r="J26" s="4"/>
      <c r="K26" s="2"/>
      <c r="L26" s="2"/>
      <c r="M26" s="3"/>
      <c r="N26" t="str">
        <f>IF($M26="Manutenção",COUNTIF($M$3:$M26,"Manutenção"),"")</f>
        <v/>
      </c>
    </row>
    <row r="27" spans="1:14" ht="16.5" x14ac:dyDescent="0.3">
      <c r="A27" s="3"/>
      <c r="B27" s="18" t="s">
        <v>78</v>
      </c>
      <c r="C27" s="2"/>
      <c r="D27" s="4"/>
      <c r="E27" s="4"/>
      <c r="F27" s="4"/>
      <c r="G27" s="2">
        <v>1</v>
      </c>
      <c r="H27" s="3"/>
      <c r="I27" s="41" t="s">
        <v>167</v>
      </c>
      <c r="J27" s="4"/>
      <c r="K27" s="2"/>
      <c r="L27" s="2"/>
      <c r="M27" s="3"/>
      <c r="N27" t="str">
        <f>IF($M27="Manutenção",COUNTIF($M$3:$M27,"Manutenção"),"")</f>
        <v/>
      </c>
    </row>
    <row r="28" spans="1:14" ht="16.5" x14ac:dyDescent="0.3">
      <c r="A28" s="3"/>
      <c r="B28" s="19" t="s">
        <v>106</v>
      </c>
      <c r="C28" s="2"/>
      <c r="D28" s="4"/>
      <c r="E28" s="4"/>
      <c r="F28" s="4"/>
      <c r="G28" s="3"/>
      <c r="H28" s="3"/>
      <c r="I28" s="3"/>
      <c r="J28" s="4"/>
      <c r="K28" s="2"/>
      <c r="L28" s="2"/>
      <c r="M28" s="3"/>
      <c r="N28" t="str">
        <f>IF($M28="Manutenção",COUNTIF($M$3:$M28,"Manutenção"),"")</f>
        <v/>
      </c>
    </row>
    <row r="29" spans="1:14" ht="15.75" x14ac:dyDescent="0.25">
      <c r="A29" s="3"/>
      <c r="B29" s="20" t="s">
        <v>166</v>
      </c>
      <c r="C29" s="2"/>
      <c r="D29" s="4"/>
      <c r="E29" s="4"/>
      <c r="F29" s="4"/>
      <c r="G29" s="2">
        <v>1</v>
      </c>
      <c r="H29" s="3"/>
      <c r="I29" s="45" t="s">
        <v>165</v>
      </c>
      <c r="J29" s="4"/>
      <c r="K29" s="2"/>
      <c r="L29" s="2"/>
      <c r="M29" s="3"/>
      <c r="N29" t="str">
        <f>IF($M29="Manutenção",COUNTIF($M$3:$M29,"Manutenção"),"")</f>
        <v/>
      </c>
    </row>
    <row r="30" spans="1:14" ht="15.75" x14ac:dyDescent="0.25">
      <c r="A30" s="3"/>
      <c r="B30" s="20" t="s">
        <v>168</v>
      </c>
      <c r="C30" s="2"/>
      <c r="D30" s="4"/>
      <c r="E30" s="4"/>
      <c r="F30" s="4"/>
      <c r="G30" s="2">
        <v>1</v>
      </c>
      <c r="H30" s="3"/>
      <c r="I30" s="45" t="s">
        <v>165</v>
      </c>
      <c r="J30" s="4"/>
      <c r="K30" s="2"/>
      <c r="L30" s="2"/>
      <c r="M30" s="3"/>
      <c r="N30" t="str">
        <f>IF($M30="Manutenção",COUNTIF($M$3:$M30,"Manutenção"),"")</f>
        <v/>
      </c>
    </row>
    <row r="31" spans="1:14" x14ac:dyDescent="0.25">
      <c r="A31" s="3"/>
      <c r="B31" s="17" t="s">
        <v>89</v>
      </c>
      <c r="C31" s="2"/>
      <c r="D31" s="4"/>
      <c r="E31" s="4"/>
      <c r="F31" s="4"/>
      <c r="G31" s="3"/>
      <c r="H31" s="3"/>
      <c r="I31" s="3"/>
      <c r="J31" s="4"/>
      <c r="K31" s="2"/>
      <c r="L31" s="2"/>
      <c r="M31" s="3"/>
      <c r="N31" t="str">
        <f>IF($M31="Manutenção",COUNTIF($M$3:$M31,"Manutenção"),"")</f>
        <v/>
      </c>
    </row>
    <row r="32" spans="1:14" x14ac:dyDescent="0.25">
      <c r="A32" s="3"/>
      <c r="B32" s="15" t="s">
        <v>108</v>
      </c>
      <c r="C32" s="2"/>
      <c r="D32" s="4"/>
      <c r="E32" s="4"/>
      <c r="F32" s="4"/>
      <c r="G32" s="3"/>
      <c r="H32" s="3"/>
      <c r="I32" s="3"/>
      <c r="J32" s="4"/>
      <c r="K32" s="2"/>
      <c r="L32" s="2"/>
      <c r="M32" s="3"/>
      <c r="N32" t="str">
        <f>IF($M32="Manutenção",COUNTIF($M$3:$M32,"Manutenção"),"")</f>
        <v/>
      </c>
    </row>
    <row r="33" spans="1:14" x14ac:dyDescent="0.25">
      <c r="A33" s="3"/>
      <c r="B33" s="15" t="s">
        <v>109</v>
      </c>
      <c r="C33" s="2"/>
      <c r="D33" s="4"/>
      <c r="E33" s="4"/>
      <c r="F33" s="4"/>
      <c r="G33" s="3"/>
      <c r="H33" s="3"/>
      <c r="I33" s="3"/>
      <c r="J33" s="4"/>
      <c r="K33" s="2"/>
      <c r="L33" s="2"/>
      <c r="M33" s="3"/>
      <c r="N33" t="str">
        <f>IF($M33="Manutenção",COUNTIF($M$3:$M33,"Manutenção"),"")</f>
        <v/>
      </c>
    </row>
    <row r="34" spans="1:14" x14ac:dyDescent="0.25">
      <c r="A34" s="3"/>
      <c r="B34" s="13" t="s">
        <v>110</v>
      </c>
      <c r="C34" s="2"/>
      <c r="D34" s="4"/>
      <c r="E34" s="4"/>
      <c r="F34" s="4"/>
      <c r="G34" s="3"/>
      <c r="H34" s="3"/>
      <c r="I34" s="3"/>
      <c r="J34" s="4"/>
      <c r="K34" s="2"/>
      <c r="L34" s="2"/>
      <c r="M34" s="3"/>
      <c r="N34" t="str">
        <f>IF($M34="Manutenção",COUNTIF($M$3:$M34,"Manutenção"),"")</f>
        <v/>
      </c>
    </row>
    <row r="35" spans="1:14" x14ac:dyDescent="0.25">
      <c r="A35" s="3"/>
      <c r="B35" s="13" t="s">
        <v>81</v>
      </c>
      <c r="C35" s="2"/>
      <c r="D35" s="4"/>
      <c r="E35" s="4"/>
      <c r="F35" s="4"/>
      <c r="G35" s="3"/>
      <c r="H35" s="3"/>
      <c r="I35" s="3"/>
      <c r="J35" s="4"/>
      <c r="K35" s="2"/>
      <c r="L35" s="2"/>
      <c r="M35" s="3"/>
      <c r="N35" t="str">
        <f>IF($M35="Manutenção",COUNTIF($M$3:$M35,"Manutenção"),"")</f>
        <v/>
      </c>
    </row>
    <row r="36" spans="1:14" x14ac:dyDescent="0.25">
      <c r="A36" s="3"/>
      <c r="B36" s="15" t="s">
        <v>111</v>
      </c>
      <c r="C36" s="2"/>
      <c r="D36" s="4"/>
      <c r="E36" s="4"/>
      <c r="F36" s="4"/>
      <c r="G36" s="3"/>
      <c r="H36" s="3"/>
      <c r="I36" s="3"/>
      <c r="J36" s="4"/>
      <c r="K36" s="2"/>
      <c r="L36" s="2"/>
      <c r="M36" s="3"/>
      <c r="N36" t="str">
        <f>IF($M36="Manutenção",COUNTIF($M$3:$M36,"Manutenção"),"")</f>
        <v/>
      </c>
    </row>
    <row r="37" spans="1:14" x14ac:dyDescent="0.25">
      <c r="A37" s="3"/>
      <c r="B37" s="15" t="s">
        <v>169</v>
      </c>
      <c r="C37" s="2"/>
      <c r="D37" s="4">
        <v>45464</v>
      </c>
      <c r="E37" s="2">
        <v>529028</v>
      </c>
      <c r="F37" s="46">
        <v>799</v>
      </c>
      <c r="G37" s="2">
        <v>1</v>
      </c>
      <c r="H37" s="3"/>
      <c r="I37" s="41" t="s">
        <v>165</v>
      </c>
      <c r="J37" s="4"/>
      <c r="K37" s="2"/>
      <c r="L37" s="2"/>
      <c r="M37" s="3"/>
      <c r="N37" t="str">
        <f>IF($M37="Manutenção",COUNTIF($M$3:$M37,"Manutenção"),"")</f>
        <v/>
      </c>
    </row>
    <row r="38" spans="1:14" x14ac:dyDescent="0.25">
      <c r="A38" s="3"/>
      <c r="B38" s="21" t="s">
        <v>113</v>
      </c>
      <c r="C38" s="2"/>
      <c r="D38" s="4"/>
      <c r="E38" s="4"/>
      <c r="F38" s="4"/>
      <c r="G38" s="2"/>
      <c r="H38" s="3"/>
      <c r="I38" s="3"/>
      <c r="J38" s="4"/>
      <c r="K38" s="2"/>
      <c r="L38" s="2"/>
      <c r="M38" s="3"/>
      <c r="N38" t="str">
        <f>IF($M38="Manutenção",COUNTIF($M$3:$M38,"Manutenção"),"")</f>
        <v/>
      </c>
    </row>
    <row r="39" spans="1:14" ht="16.5" x14ac:dyDescent="0.3">
      <c r="A39" s="3"/>
      <c r="B39" s="18" t="s">
        <v>171</v>
      </c>
      <c r="C39" s="2"/>
      <c r="D39" s="4"/>
      <c r="E39" s="4"/>
      <c r="F39" s="48">
        <v>2900</v>
      </c>
      <c r="G39" s="2">
        <v>1</v>
      </c>
      <c r="H39" s="41" t="s">
        <v>172</v>
      </c>
      <c r="I39" s="41" t="s">
        <v>165</v>
      </c>
      <c r="J39" s="4"/>
      <c r="K39" s="2"/>
      <c r="L39" s="2"/>
      <c r="M39" s="3"/>
    </row>
    <row r="40" spans="1:14" ht="16.5" x14ac:dyDescent="0.3">
      <c r="A40" s="3"/>
      <c r="B40" s="18" t="s">
        <v>170</v>
      </c>
      <c r="C40" s="2"/>
      <c r="D40" s="4"/>
      <c r="E40" s="47"/>
      <c r="F40" s="48">
        <v>2900</v>
      </c>
      <c r="G40" s="2">
        <v>2</v>
      </c>
      <c r="H40" s="41" t="s">
        <v>172</v>
      </c>
      <c r="I40" s="41" t="s">
        <v>165</v>
      </c>
      <c r="J40" s="4"/>
      <c r="K40" s="2"/>
      <c r="L40" s="2"/>
      <c r="M40" s="3"/>
      <c r="N40" t="str">
        <f>IF($M40="Manutenção",COUNTIF($M$3:$M40,"Manutenção"),"")</f>
        <v/>
      </c>
    </row>
    <row r="41" spans="1:14" ht="16.5" x14ac:dyDescent="0.3">
      <c r="A41" s="3"/>
      <c r="B41" s="49" t="s">
        <v>173</v>
      </c>
      <c r="C41" s="2"/>
      <c r="D41" s="4"/>
      <c r="E41" s="47"/>
      <c r="F41" s="48">
        <v>2900</v>
      </c>
      <c r="G41" s="2">
        <v>1</v>
      </c>
      <c r="H41" s="41"/>
      <c r="I41" s="41" t="s">
        <v>129</v>
      </c>
      <c r="J41" s="4"/>
      <c r="K41" s="2"/>
      <c r="L41" s="2"/>
      <c r="M41" s="3"/>
    </row>
    <row r="42" spans="1:14" x14ac:dyDescent="0.25">
      <c r="A42" s="3"/>
      <c r="B42" s="17" t="s">
        <v>174</v>
      </c>
      <c r="C42" s="2"/>
      <c r="D42" s="4"/>
      <c r="E42" s="4"/>
      <c r="F42" s="4"/>
      <c r="G42" s="3">
        <v>1</v>
      </c>
      <c r="H42" s="3"/>
      <c r="I42" s="41" t="s">
        <v>163</v>
      </c>
      <c r="J42" s="4"/>
      <c r="K42" s="2"/>
      <c r="L42" s="2"/>
      <c r="M42" s="3"/>
      <c r="N42" t="str">
        <f>IF($M42="Manutenção",COUNTIF($M$3:$M42,"Manutenção"),"")</f>
        <v/>
      </c>
    </row>
    <row r="43" spans="1:14" ht="15.75" x14ac:dyDescent="0.25">
      <c r="A43" s="3"/>
      <c r="B43" s="20" t="s">
        <v>123</v>
      </c>
      <c r="C43" s="2"/>
      <c r="D43" s="4"/>
      <c r="E43" s="4"/>
      <c r="F43" s="4"/>
      <c r="G43" s="3"/>
      <c r="H43" s="3"/>
      <c r="I43" s="3"/>
      <c r="J43" s="4"/>
      <c r="K43" s="2"/>
      <c r="L43" s="2"/>
      <c r="M43" s="3"/>
      <c r="N43" t="str">
        <f>IF($M43="Manutenção",COUNTIF($M$3:$M43,"Manutenção"),"")</f>
        <v/>
      </c>
    </row>
    <row r="44" spans="1:14" x14ac:dyDescent="0.25">
      <c r="A44" s="3"/>
      <c r="B44" s="14" t="s">
        <v>124</v>
      </c>
      <c r="C44" s="2"/>
      <c r="D44" s="4"/>
      <c r="E44" s="4"/>
      <c r="F44" s="4"/>
      <c r="G44" s="3"/>
      <c r="H44" s="3"/>
      <c r="I44" s="3"/>
      <c r="J44" s="4"/>
      <c r="K44" s="2"/>
      <c r="L44" s="2"/>
      <c r="M44" s="3"/>
      <c r="N44" t="str">
        <f>IF($M44="Manutenção",COUNTIF($M$3:$M44,"Manutenção"),"")</f>
        <v/>
      </c>
    </row>
    <row r="45" spans="1:14" x14ac:dyDescent="0.25">
      <c r="A45" s="3"/>
      <c r="B45" s="13" t="s">
        <v>126</v>
      </c>
      <c r="C45" s="2"/>
      <c r="D45" s="4"/>
      <c r="E45" s="4"/>
      <c r="F45" s="4"/>
      <c r="G45" s="3"/>
      <c r="H45" s="3"/>
      <c r="I45" s="3"/>
      <c r="J45" s="4"/>
      <c r="K45" s="2"/>
      <c r="L45" s="2"/>
      <c r="M45" s="3"/>
      <c r="N45" t="str">
        <f>IF($M45="Manutenção",COUNTIF($M$3:$M45,"Manutenção"),"")</f>
        <v/>
      </c>
    </row>
    <row r="46" spans="1:14" x14ac:dyDescent="0.25">
      <c r="A46" s="3"/>
      <c r="B46" s="41" t="s">
        <v>175</v>
      </c>
      <c r="C46" s="2"/>
      <c r="D46" s="4"/>
      <c r="E46" s="4"/>
      <c r="F46" s="4"/>
      <c r="G46" s="3">
        <v>1</v>
      </c>
      <c r="H46" s="3"/>
      <c r="I46" s="41" t="s">
        <v>165</v>
      </c>
      <c r="J46" s="4"/>
      <c r="K46" s="2"/>
      <c r="L46" s="2"/>
      <c r="M46" s="3"/>
      <c r="N46" t="str">
        <f>IF($M46="Manutenção",COUNTIF($M$3:$M46,"Manutenção"),"")</f>
        <v/>
      </c>
    </row>
    <row r="47" spans="1:14" x14ac:dyDescent="0.25">
      <c r="A47" s="3"/>
      <c r="B47" s="41" t="s">
        <v>176</v>
      </c>
      <c r="C47" s="2"/>
      <c r="D47" s="4"/>
      <c r="E47" s="4"/>
      <c r="F47" s="4"/>
      <c r="G47" s="3">
        <v>1</v>
      </c>
      <c r="H47" s="3"/>
      <c r="I47" s="41" t="s">
        <v>165</v>
      </c>
      <c r="J47" s="4"/>
      <c r="K47" s="2"/>
      <c r="L47" s="2"/>
      <c r="M47" s="3"/>
      <c r="N47" t="str">
        <f>IF($M47="Manutenção",COUNTIF($M$3:$M47,"Manutenção"),"")</f>
        <v/>
      </c>
    </row>
    <row r="48" spans="1:14" x14ac:dyDescent="0.25">
      <c r="A48" s="3"/>
      <c r="B48" s="41" t="s">
        <v>178</v>
      </c>
      <c r="C48" s="2"/>
      <c r="D48" s="4"/>
      <c r="E48" s="4"/>
      <c r="F48" s="4"/>
      <c r="G48" s="3">
        <v>1</v>
      </c>
      <c r="H48" s="3"/>
      <c r="I48" s="41" t="s">
        <v>177</v>
      </c>
      <c r="J48" s="4"/>
      <c r="K48" s="2"/>
      <c r="L48" s="2"/>
      <c r="M48" s="3"/>
      <c r="N48" t="str">
        <f>IF($M48="Manutenção",COUNTIF($M$3:$M48,"Manutenção"),"")</f>
        <v/>
      </c>
    </row>
    <row r="49" spans="1:14" x14ac:dyDescent="0.25">
      <c r="A49" s="3"/>
      <c r="B49" s="41" t="s">
        <v>179</v>
      </c>
      <c r="C49" s="2"/>
      <c r="D49" s="4"/>
      <c r="E49" s="4"/>
      <c r="F49" s="4"/>
      <c r="G49" s="3">
        <v>1</v>
      </c>
      <c r="H49" s="3"/>
      <c r="I49" s="41" t="s">
        <v>180</v>
      </c>
      <c r="J49" s="4"/>
      <c r="K49" s="2"/>
      <c r="L49" s="2"/>
      <c r="M49" s="3"/>
      <c r="N49" t="str">
        <f>IF($M49="Manutenção",COUNTIF($M$3:$M49,"Manutenção"),"")</f>
        <v/>
      </c>
    </row>
    <row r="50" spans="1:14" x14ac:dyDescent="0.25">
      <c r="A50" s="3"/>
      <c r="B50" s="3"/>
      <c r="C50" s="2"/>
      <c r="D50" s="4"/>
      <c r="E50" s="4"/>
      <c r="F50" s="4"/>
      <c r="G50" s="3"/>
      <c r="H50" s="3"/>
      <c r="I50" s="3"/>
      <c r="J50" s="4"/>
      <c r="K50" s="2"/>
      <c r="L50" s="2"/>
      <c r="M50" s="3"/>
      <c r="N50" t="str">
        <f>IF($M50="Manutenção",COUNTIF($M$3:$M50,"Manutenção"),"")</f>
        <v/>
      </c>
    </row>
    <row r="51" spans="1:14" x14ac:dyDescent="0.25">
      <c r="A51" s="3"/>
      <c r="B51" s="3"/>
      <c r="C51" s="2"/>
      <c r="D51" s="4"/>
      <c r="E51" s="4"/>
      <c r="F51" s="4"/>
      <c r="G51" s="3"/>
      <c r="H51" s="3"/>
      <c r="I51" s="3"/>
      <c r="J51" s="4"/>
      <c r="K51" s="2"/>
      <c r="L51" s="2"/>
      <c r="M51" s="3"/>
      <c r="N51" t="str">
        <f>IF($M51="Manutenção",COUNTIF($M$3:$M51,"Manutenção"),"")</f>
        <v/>
      </c>
    </row>
    <row r="52" spans="1:14" x14ac:dyDescent="0.25">
      <c r="A52" s="3"/>
      <c r="B52" s="3"/>
      <c r="C52" s="2"/>
      <c r="D52" s="4"/>
      <c r="E52" s="4"/>
      <c r="F52" s="4"/>
      <c r="G52" s="3"/>
      <c r="H52" s="3"/>
      <c r="I52" s="3"/>
      <c r="J52" s="4"/>
      <c r="K52" s="2"/>
      <c r="L52" s="2"/>
      <c r="M52" s="3"/>
      <c r="N52" t="str">
        <f>IF($M52="Manutenção",COUNTIF($M$3:$M52,"Manutenção"),"")</f>
        <v/>
      </c>
    </row>
    <row r="53" spans="1:14" x14ac:dyDescent="0.25">
      <c r="A53" s="3"/>
      <c r="B53" s="3"/>
      <c r="C53" s="2"/>
      <c r="D53" s="4"/>
      <c r="E53" s="4"/>
      <c r="F53" s="4"/>
      <c r="G53" s="3"/>
      <c r="H53" s="3"/>
      <c r="I53" s="3"/>
      <c r="J53" s="4"/>
      <c r="K53" s="2"/>
      <c r="L53" s="2"/>
      <c r="M53" s="3"/>
      <c r="N53" t="str">
        <f>IF($M53="Manutenção",COUNTIF($M$3:$M53,"Manutenção"),"")</f>
        <v/>
      </c>
    </row>
    <row r="54" spans="1:14" x14ac:dyDescent="0.25">
      <c r="A54" s="3"/>
      <c r="B54" s="3"/>
      <c r="C54" s="2"/>
      <c r="D54" s="4"/>
      <c r="E54" s="4"/>
      <c r="F54" s="4"/>
      <c r="G54" s="3"/>
      <c r="H54" s="3"/>
      <c r="I54" s="3"/>
      <c r="J54" s="4"/>
      <c r="K54" s="2"/>
      <c r="L54" s="2"/>
      <c r="M54" s="3"/>
      <c r="N54" t="str">
        <f>IF($M54="Manutenção",COUNTIF($M$3:$M54,"Manutenção"),"")</f>
        <v/>
      </c>
    </row>
    <row r="55" spans="1:14" x14ac:dyDescent="0.25">
      <c r="A55" s="3"/>
      <c r="B55" s="3"/>
      <c r="C55" s="2"/>
      <c r="D55" s="4"/>
      <c r="E55" s="4"/>
      <c r="F55" s="4"/>
      <c r="G55" s="3"/>
      <c r="H55" s="3"/>
      <c r="I55" s="3"/>
      <c r="J55" s="4"/>
      <c r="K55" s="2"/>
      <c r="L55" s="2"/>
      <c r="M55" s="3"/>
      <c r="N55" t="str">
        <f>IF($M55="Manutenção",COUNTIF($M$3:$M55,"Manutenção"),"")</f>
        <v/>
      </c>
    </row>
    <row r="56" spans="1:14" x14ac:dyDescent="0.25">
      <c r="A56" s="3"/>
      <c r="B56" s="3"/>
      <c r="C56" s="2"/>
      <c r="D56" s="4"/>
      <c r="E56" s="4"/>
      <c r="F56" s="4"/>
      <c r="G56" s="3"/>
      <c r="H56" s="3"/>
      <c r="I56" s="3"/>
      <c r="J56" s="4"/>
      <c r="K56" s="2"/>
      <c r="L56" s="2"/>
      <c r="M56" s="3"/>
      <c r="N56" t="str">
        <f>IF($M56="Manutenção",COUNTIF($M$3:$M56,"Manutenção"),"")</f>
        <v/>
      </c>
    </row>
    <row r="57" spans="1:14" x14ac:dyDescent="0.25">
      <c r="A57" s="3"/>
      <c r="B57" s="3"/>
      <c r="C57" s="2"/>
      <c r="D57" s="4"/>
      <c r="E57" s="4"/>
      <c r="F57" s="4"/>
      <c r="G57" s="3"/>
      <c r="H57" s="3"/>
      <c r="I57" s="3"/>
      <c r="J57" s="4"/>
      <c r="K57" s="2"/>
      <c r="L57" s="2"/>
      <c r="M57" s="3"/>
      <c r="N57" t="str">
        <f>IF($M57="Manutenção",COUNTIF($M$3:$M57,"Manutenção"),"")</f>
        <v/>
      </c>
    </row>
    <row r="58" spans="1:14" x14ac:dyDescent="0.25">
      <c r="A58" s="3"/>
      <c r="B58" s="3"/>
      <c r="C58" s="2"/>
      <c r="D58" s="4"/>
      <c r="E58" s="4"/>
      <c r="F58" s="4"/>
      <c r="G58" s="3"/>
      <c r="H58" s="3"/>
      <c r="I58" s="3"/>
      <c r="J58" s="4"/>
      <c r="K58" s="2"/>
      <c r="L58" s="2"/>
      <c r="M58" s="3"/>
      <c r="N58" t="str">
        <f>IF($M58="Manutenção",COUNTIF($M$3:$M58,"Manutenção"),"")</f>
        <v/>
      </c>
    </row>
    <row r="59" spans="1:14" x14ac:dyDescent="0.25">
      <c r="A59" s="3"/>
      <c r="B59" s="3"/>
      <c r="C59" s="2"/>
      <c r="D59" s="4"/>
      <c r="E59" s="4"/>
      <c r="F59" s="4"/>
      <c r="G59" s="3"/>
      <c r="H59" s="3"/>
      <c r="I59" s="3"/>
      <c r="J59" s="4"/>
      <c r="K59" s="2"/>
      <c r="L59" s="2"/>
      <c r="M59" s="3"/>
      <c r="N59" t="str">
        <f>IF($M59="Manutenção",COUNTIF($M$3:$M59,"Manutenção"),"")</f>
        <v/>
      </c>
    </row>
    <row r="60" spans="1:14" x14ac:dyDescent="0.25">
      <c r="A60" s="3"/>
      <c r="B60" s="3"/>
      <c r="C60" s="2"/>
      <c r="D60" s="4"/>
      <c r="E60" s="4"/>
      <c r="F60" s="4"/>
      <c r="G60" s="3"/>
      <c r="H60" s="3"/>
      <c r="I60" s="3"/>
      <c r="J60" s="4"/>
      <c r="K60" s="2"/>
      <c r="L60" s="2"/>
      <c r="M60" s="3"/>
      <c r="N60" t="str">
        <f>IF($M60="Manutenção",COUNTIF($M$3:$M60,"Manutenção"),"")</f>
        <v/>
      </c>
    </row>
    <row r="61" spans="1:14" x14ac:dyDescent="0.25">
      <c r="A61" s="3"/>
      <c r="B61" s="3"/>
      <c r="C61" s="2"/>
      <c r="D61" s="4"/>
      <c r="E61" s="4"/>
      <c r="F61" s="4"/>
      <c r="G61" s="3"/>
      <c r="H61" s="3"/>
      <c r="I61" s="3"/>
      <c r="J61" s="4"/>
      <c r="K61" s="2"/>
      <c r="L61" s="2"/>
      <c r="M61" s="3"/>
      <c r="N61" t="str">
        <f>IF($M61="Manutenção",COUNTIF($M$3:$M61,"Manutenção"),"")</f>
        <v/>
      </c>
    </row>
    <row r="62" spans="1:14" x14ac:dyDescent="0.25">
      <c r="A62" s="3"/>
      <c r="B62" s="3"/>
      <c r="C62" s="2"/>
      <c r="D62" s="4"/>
      <c r="E62" s="4"/>
      <c r="F62" s="4"/>
      <c r="G62" s="3"/>
      <c r="H62" s="3"/>
      <c r="I62" s="3"/>
      <c r="J62" s="4"/>
      <c r="K62" s="2"/>
      <c r="L62" s="2"/>
      <c r="M62" s="3"/>
      <c r="N62" t="str">
        <f>IF($M62="Manutenção",COUNTIF($M$3:$M62,"Manutenção"),"")</f>
        <v/>
      </c>
    </row>
    <row r="63" spans="1:14" x14ac:dyDescent="0.25">
      <c r="A63" s="3"/>
      <c r="B63" s="3"/>
      <c r="C63" s="2"/>
      <c r="D63" s="4"/>
      <c r="E63" s="4"/>
      <c r="F63" s="4"/>
      <c r="G63" s="3"/>
      <c r="H63" s="3"/>
      <c r="I63" s="3"/>
      <c r="J63" s="4"/>
      <c r="K63" s="2"/>
      <c r="L63" s="2"/>
      <c r="M63" s="3"/>
      <c r="N63" t="str">
        <f>IF($M63="Manutenção",COUNTIF($M$3:$M63,"Manutenção"),"")</f>
        <v/>
      </c>
    </row>
    <row r="64" spans="1:14" x14ac:dyDescent="0.25">
      <c r="A64" s="3"/>
      <c r="B64" s="3"/>
      <c r="C64" s="2"/>
      <c r="D64" s="4"/>
      <c r="E64" s="4"/>
      <c r="F64" s="4"/>
      <c r="G64" s="3"/>
      <c r="H64" s="3"/>
      <c r="I64" s="3"/>
      <c r="J64" s="4"/>
      <c r="K64" s="2"/>
      <c r="L64" s="2"/>
      <c r="M64" s="3"/>
      <c r="N64" t="str">
        <f>IF($M64="Manutenção",COUNTIF($M$3:$M64,"Manutenção"),"")</f>
        <v/>
      </c>
    </row>
    <row r="65" spans="1:14" x14ac:dyDescent="0.25">
      <c r="A65" s="3"/>
      <c r="B65" s="3"/>
      <c r="C65" s="2"/>
      <c r="D65" s="4"/>
      <c r="E65" s="4"/>
      <c r="F65" s="4"/>
      <c r="G65" s="3"/>
      <c r="H65" s="3"/>
      <c r="I65" s="3"/>
      <c r="J65" s="4"/>
      <c r="K65" s="2"/>
      <c r="L65" s="2"/>
      <c r="M65" s="3"/>
      <c r="N65" t="str">
        <f>IF($M65="Manutenção",COUNTIF($M$3:$M65,"Manutenção"),"")</f>
        <v/>
      </c>
    </row>
    <row r="66" spans="1:14" x14ac:dyDescent="0.25">
      <c r="A66" s="3"/>
      <c r="B66" s="3"/>
      <c r="C66" s="2"/>
      <c r="D66" s="4"/>
      <c r="E66" s="4"/>
      <c r="F66" s="4"/>
      <c r="G66" s="3"/>
      <c r="H66" s="3"/>
      <c r="I66" s="3"/>
      <c r="J66" s="4"/>
      <c r="K66" s="2"/>
      <c r="L66" s="2"/>
      <c r="M66" s="3"/>
      <c r="N66" t="str">
        <f>IF($M66="Manutenção",COUNTIF($M$3:$M66,"Manutenção"),"")</f>
        <v/>
      </c>
    </row>
    <row r="67" spans="1:14" x14ac:dyDescent="0.25">
      <c r="A67" s="3"/>
      <c r="B67" s="3"/>
      <c r="C67" s="2"/>
      <c r="D67" s="4"/>
      <c r="E67" s="4"/>
      <c r="F67" s="4"/>
      <c r="G67" s="3"/>
      <c r="H67" s="3"/>
      <c r="I67" s="3"/>
      <c r="J67" s="4"/>
      <c r="K67" s="2"/>
      <c r="L67" s="2"/>
      <c r="M67" s="3"/>
      <c r="N67" t="str">
        <f>IF($M67="Manutenção",COUNTIF($M$3:$M67,"Manutenção"),"")</f>
        <v/>
      </c>
    </row>
    <row r="68" spans="1:14" x14ac:dyDescent="0.25">
      <c r="A68" s="3"/>
      <c r="B68" s="3"/>
      <c r="C68" s="2"/>
      <c r="D68" s="4"/>
      <c r="E68" s="4"/>
      <c r="F68" s="4"/>
      <c r="G68" s="3"/>
      <c r="H68" s="3"/>
      <c r="I68" s="3"/>
      <c r="J68" s="4"/>
      <c r="K68" s="2"/>
      <c r="L68" s="2"/>
      <c r="M68" s="3"/>
      <c r="N68" t="str">
        <f>IF($M68="Manutenção",COUNTIF($M$3:$M68,"Manutenção"),"")</f>
        <v/>
      </c>
    </row>
    <row r="69" spans="1:14" x14ac:dyDescent="0.25">
      <c r="A69" s="3"/>
      <c r="B69" s="3"/>
      <c r="C69" s="2"/>
      <c r="D69" s="4"/>
      <c r="E69" s="4"/>
      <c r="F69" s="4"/>
      <c r="G69" s="3"/>
      <c r="H69" s="3"/>
      <c r="I69" s="3"/>
      <c r="J69" s="4"/>
      <c r="K69" s="2"/>
      <c r="L69" s="2"/>
      <c r="M69" s="3"/>
      <c r="N69" t="str">
        <f>IF($M69="Manutenção",COUNTIF($M$3:$M69,"Manutenção"),"")</f>
        <v/>
      </c>
    </row>
    <row r="70" spans="1:14" x14ac:dyDescent="0.25">
      <c r="A70" s="3"/>
      <c r="B70" s="3"/>
      <c r="C70" s="2"/>
      <c r="D70" s="4"/>
      <c r="E70" s="4"/>
      <c r="F70" s="4"/>
      <c r="G70" s="3"/>
      <c r="H70" s="3"/>
      <c r="I70" s="3"/>
      <c r="J70" s="4"/>
      <c r="K70" s="2"/>
      <c r="L70" s="2"/>
      <c r="M70" s="3"/>
      <c r="N70" t="str">
        <f>IF($M70="Manutenção",COUNTIF($M$3:$M70,"Manutenção"),"")</f>
        <v/>
      </c>
    </row>
    <row r="71" spans="1:14" x14ac:dyDescent="0.25">
      <c r="A71" s="3"/>
      <c r="B71" s="3"/>
      <c r="C71" s="2"/>
      <c r="D71" s="4"/>
      <c r="E71" s="4"/>
      <c r="F71" s="4"/>
      <c r="G71" s="3"/>
      <c r="H71" s="3"/>
      <c r="I71" s="3"/>
      <c r="J71" s="4"/>
      <c r="K71" s="2"/>
      <c r="L71" s="2"/>
      <c r="M71" s="3"/>
      <c r="N71" t="str">
        <f>IF($M71="Manutenção",COUNTIF($M$3:$M71,"Manutenção"),"")</f>
        <v/>
      </c>
    </row>
    <row r="72" spans="1:14" x14ac:dyDescent="0.25">
      <c r="A72" s="3"/>
      <c r="B72" s="3"/>
      <c r="C72" s="2"/>
      <c r="D72" s="4"/>
      <c r="E72" s="4"/>
      <c r="F72" s="4"/>
      <c r="G72" s="3"/>
      <c r="H72" s="3"/>
      <c r="I72" s="3"/>
      <c r="J72" s="4"/>
      <c r="K72" s="2"/>
      <c r="L72" s="2"/>
      <c r="M72" s="3"/>
      <c r="N72" t="str">
        <f>IF($M72="Manutenção",COUNTIF($M$3:$M72,"Manutenção"),"")</f>
        <v/>
      </c>
    </row>
    <row r="73" spans="1:14" x14ac:dyDescent="0.25">
      <c r="A73" s="3"/>
      <c r="B73" s="3"/>
      <c r="C73" s="2"/>
      <c r="D73" s="4"/>
      <c r="E73" s="4"/>
      <c r="F73" s="4"/>
      <c r="G73" s="3"/>
      <c r="H73" s="3"/>
      <c r="I73" s="3"/>
      <c r="J73" s="4"/>
      <c r="K73" s="2"/>
      <c r="L73" s="2"/>
      <c r="M73" s="3"/>
      <c r="N73" t="str">
        <f>IF($M73="Manutenção",COUNTIF($M$3:$M73,"Manutenção"),"")</f>
        <v/>
      </c>
    </row>
    <row r="74" spans="1:14" x14ac:dyDescent="0.25">
      <c r="A74" s="3"/>
      <c r="B74" s="3"/>
      <c r="C74" s="2"/>
      <c r="D74" s="4"/>
      <c r="E74" s="4"/>
      <c r="F74" s="4"/>
      <c r="G74" s="3"/>
      <c r="H74" s="3"/>
      <c r="I74" s="3"/>
      <c r="J74" s="4"/>
      <c r="K74" s="2"/>
      <c r="L74" s="2"/>
      <c r="M74" s="3"/>
      <c r="N74" t="str">
        <f>IF($M74="Manutenção",COUNTIF($M$3:$M74,"Manutenção"),"")</f>
        <v/>
      </c>
    </row>
    <row r="75" spans="1:14" x14ac:dyDescent="0.25">
      <c r="A75" s="3"/>
      <c r="B75" s="3"/>
      <c r="C75" s="2"/>
      <c r="D75" s="4"/>
      <c r="E75" s="4"/>
      <c r="F75" s="4"/>
      <c r="G75" s="3"/>
      <c r="H75" s="3"/>
      <c r="I75" s="3"/>
      <c r="J75" s="4"/>
      <c r="K75" s="2"/>
      <c r="L75" s="2"/>
      <c r="M75" s="3"/>
      <c r="N75" t="str">
        <f>IF($M75="Manutenção",COUNTIF($M$3:$M75,"Manutenção"),"")</f>
        <v/>
      </c>
    </row>
    <row r="76" spans="1:14" x14ac:dyDescent="0.25">
      <c r="A76" s="3"/>
      <c r="B76" s="3"/>
      <c r="C76" s="2"/>
      <c r="D76" s="4"/>
      <c r="E76" s="4"/>
      <c r="F76" s="4"/>
      <c r="G76" s="3"/>
      <c r="H76" s="3"/>
      <c r="I76" s="3"/>
      <c r="J76" s="4"/>
      <c r="K76" s="2"/>
      <c r="L76" s="2"/>
      <c r="M76" s="3"/>
      <c r="N76" t="str">
        <f>IF($M76="Manutenção",COUNTIF($M$3:$M76,"Manutenção"),"")</f>
        <v/>
      </c>
    </row>
    <row r="77" spans="1:14" x14ac:dyDescent="0.25">
      <c r="A77" s="3"/>
      <c r="B77" s="3"/>
      <c r="C77" s="2"/>
      <c r="D77" s="4"/>
      <c r="E77" s="4"/>
      <c r="F77" s="4"/>
      <c r="G77" s="3"/>
      <c r="H77" s="3"/>
      <c r="I77" s="3"/>
      <c r="J77" s="4"/>
      <c r="K77" s="2"/>
      <c r="L77" s="2"/>
      <c r="M77" s="3"/>
      <c r="N77" t="str">
        <f>IF($M77="Manutenção",COUNTIF($M$3:$M77,"Manutenção"),"")</f>
        <v/>
      </c>
    </row>
    <row r="78" spans="1:14" x14ac:dyDescent="0.25">
      <c r="A78" s="3"/>
      <c r="B78" s="3"/>
      <c r="C78" s="2"/>
      <c r="D78" s="4"/>
      <c r="E78" s="4"/>
      <c r="F78" s="4"/>
      <c r="G78" s="3"/>
      <c r="H78" s="3"/>
      <c r="I78" s="3"/>
      <c r="J78" s="4"/>
      <c r="K78" s="2"/>
      <c r="L78" s="2"/>
      <c r="M78" s="3"/>
      <c r="N78" t="str">
        <f>IF($M78="Manutenção",COUNTIF($M$3:$M78,"Manutenção"),"")</f>
        <v/>
      </c>
    </row>
    <row r="79" spans="1:14" x14ac:dyDescent="0.25">
      <c r="A79" s="3"/>
      <c r="B79" s="3"/>
      <c r="C79" s="2"/>
      <c r="D79" s="4"/>
      <c r="E79" s="4"/>
      <c r="F79" s="4"/>
      <c r="G79" s="3"/>
      <c r="H79" s="3"/>
      <c r="I79" s="3"/>
      <c r="J79" s="4"/>
      <c r="K79" s="2"/>
      <c r="L79" s="2"/>
      <c r="M79" s="3"/>
      <c r="N79" t="str">
        <f>IF($M79="Manutenção",COUNTIF($M$3:$M79,"Manutenção"),"")</f>
        <v/>
      </c>
    </row>
    <row r="80" spans="1:14" x14ac:dyDescent="0.25">
      <c r="A80" s="3"/>
      <c r="B80" s="3"/>
      <c r="C80" s="2"/>
      <c r="D80" s="4"/>
      <c r="E80" s="4"/>
      <c r="F80" s="4"/>
      <c r="G80" s="3"/>
      <c r="H80" s="3"/>
      <c r="I80" s="3"/>
      <c r="J80" s="4"/>
      <c r="K80" s="2"/>
      <c r="L80" s="2"/>
      <c r="M80" s="3"/>
      <c r="N80" t="str">
        <f>IF($M80="Manutenção",COUNTIF($M$3:$M80,"Manutenção"),"")</f>
        <v/>
      </c>
    </row>
    <row r="81" spans="1:14" x14ac:dyDescent="0.25">
      <c r="A81" s="3"/>
      <c r="B81" s="3"/>
      <c r="C81" s="2"/>
      <c r="D81" s="4"/>
      <c r="E81" s="4"/>
      <c r="F81" s="4"/>
      <c r="G81" s="3"/>
      <c r="H81" s="3"/>
      <c r="I81" s="3"/>
      <c r="J81" s="4"/>
      <c r="K81" s="2"/>
      <c r="L81" s="2"/>
      <c r="M81" s="3"/>
      <c r="N81" t="str">
        <f>IF($M81="Manutenção",COUNTIF($M$3:$M81,"Manutenção"),"")</f>
        <v/>
      </c>
    </row>
    <row r="82" spans="1:14" x14ac:dyDescent="0.25">
      <c r="A82" s="3"/>
      <c r="B82" s="3"/>
      <c r="C82" s="2"/>
      <c r="D82" s="4"/>
      <c r="E82" s="4"/>
      <c r="F82" s="4"/>
      <c r="G82" s="3"/>
      <c r="H82" s="3"/>
      <c r="I82" s="3"/>
      <c r="J82" s="4"/>
      <c r="K82" s="2"/>
      <c r="L82" s="2"/>
      <c r="M82" s="3"/>
      <c r="N82" t="str">
        <f>IF($M82="Manutenção",COUNTIF($M$3:$M82,"Manutenção"),"")</f>
        <v/>
      </c>
    </row>
    <row r="83" spans="1:14" x14ac:dyDescent="0.25">
      <c r="A83" s="3"/>
      <c r="B83" s="3"/>
      <c r="C83" s="2"/>
      <c r="D83" s="4"/>
      <c r="E83" s="4"/>
      <c r="F83" s="4"/>
      <c r="G83" s="3"/>
      <c r="H83" s="3"/>
      <c r="I83" s="3"/>
      <c r="J83" s="4"/>
      <c r="K83" s="2"/>
      <c r="L83" s="2"/>
      <c r="M83" s="3"/>
      <c r="N83" t="str">
        <f>IF($M83="Manutenção",COUNTIF($M$3:$M83,"Manutenção"),"")</f>
        <v/>
      </c>
    </row>
    <row r="84" spans="1:14" x14ac:dyDescent="0.25">
      <c r="A84" s="3"/>
      <c r="B84" s="3"/>
      <c r="C84" s="2"/>
      <c r="D84" s="4"/>
      <c r="E84" s="4"/>
      <c r="F84" s="4"/>
      <c r="G84" s="3"/>
      <c r="H84" s="3"/>
      <c r="I84" s="3"/>
      <c r="J84" s="4"/>
      <c r="K84" s="2"/>
      <c r="L84" s="2"/>
      <c r="M84" s="3"/>
      <c r="N84" t="str">
        <f>IF($M84="Manutenção",COUNTIF($M$3:$M84,"Manutenção"),"")</f>
        <v/>
      </c>
    </row>
    <row r="85" spans="1:14" x14ac:dyDescent="0.25">
      <c r="A85" s="3"/>
      <c r="B85" s="3"/>
      <c r="C85" s="2"/>
      <c r="D85" s="4"/>
      <c r="E85" s="4"/>
      <c r="F85" s="4"/>
      <c r="G85" s="3"/>
      <c r="H85" s="3"/>
      <c r="I85" s="3"/>
      <c r="J85" s="4"/>
      <c r="K85" s="2"/>
      <c r="L85" s="2"/>
      <c r="M85" s="3"/>
      <c r="N85" t="str">
        <f>IF($M85="Manutenção",COUNTIF($M$3:$M85,"Manutenção"),"")</f>
        <v/>
      </c>
    </row>
    <row r="86" spans="1:14" x14ac:dyDescent="0.25">
      <c r="A86" s="3"/>
      <c r="B86" s="3"/>
      <c r="C86" s="2"/>
      <c r="D86" s="4"/>
      <c r="E86" s="4"/>
      <c r="F86" s="4"/>
      <c r="G86" s="3"/>
      <c r="H86" s="3"/>
      <c r="I86" s="3"/>
      <c r="J86" s="4"/>
      <c r="K86" s="2"/>
      <c r="L86" s="2"/>
      <c r="M86" s="3"/>
      <c r="N86" t="str">
        <f>IF($M86="Manutenção",COUNTIF($M$3:$M86,"Manutenção"),"")</f>
        <v/>
      </c>
    </row>
    <row r="87" spans="1:14" x14ac:dyDescent="0.25">
      <c r="A87" s="3"/>
      <c r="B87" s="3"/>
      <c r="C87" s="2"/>
      <c r="D87" s="4"/>
      <c r="E87" s="4"/>
      <c r="F87" s="4"/>
      <c r="G87" s="3"/>
      <c r="H87" s="3"/>
      <c r="I87" s="3"/>
      <c r="J87" s="4"/>
      <c r="K87" s="2"/>
      <c r="L87" s="2"/>
      <c r="M87" s="3"/>
      <c r="N87" t="str">
        <f>IF($M87="Manutenção",COUNTIF($M$3:$M87,"Manutenção"),"")</f>
        <v/>
      </c>
    </row>
    <row r="88" spans="1:14" x14ac:dyDescent="0.25">
      <c r="A88" s="3"/>
      <c r="B88" s="3"/>
      <c r="C88" s="2"/>
      <c r="D88" s="4"/>
      <c r="E88" s="4"/>
      <c r="F88" s="4"/>
      <c r="G88" s="3"/>
      <c r="H88" s="3"/>
      <c r="I88" s="3"/>
      <c r="J88" s="4"/>
      <c r="K88" s="2"/>
      <c r="L88" s="2"/>
      <c r="M88" s="3"/>
      <c r="N88" t="str">
        <f>IF($M88="Manutenção",COUNTIF($M$3:$M88,"Manutenção"),"")</f>
        <v/>
      </c>
    </row>
    <row r="89" spans="1:14" x14ac:dyDescent="0.25">
      <c r="A89" s="3"/>
      <c r="B89" s="3"/>
      <c r="C89" s="2"/>
      <c r="D89" s="4"/>
      <c r="E89" s="4"/>
      <c r="F89" s="4"/>
      <c r="G89" s="3"/>
      <c r="H89" s="3"/>
      <c r="I89" s="3"/>
      <c r="J89" s="4"/>
      <c r="K89" s="2"/>
      <c r="L89" s="2"/>
      <c r="M89" s="3"/>
      <c r="N89" t="str">
        <f>IF($M89="Manutenção",COUNTIF($M$3:$M89,"Manutenção"),"")</f>
        <v/>
      </c>
    </row>
    <row r="90" spans="1:14" x14ac:dyDescent="0.25">
      <c r="A90" s="3"/>
      <c r="B90" s="3"/>
      <c r="C90" s="2"/>
      <c r="D90" s="4"/>
      <c r="E90" s="4"/>
      <c r="F90" s="4"/>
      <c r="G90" s="3"/>
      <c r="H90" s="3"/>
      <c r="I90" s="3"/>
      <c r="J90" s="4"/>
      <c r="K90" s="2"/>
      <c r="L90" s="2"/>
      <c r="M90" s="3"/>
      <c r="N90" t="str">
        <f>IF($M90="Manutenção",COUNTIF($M$3:$M90,"Manutenção"),"")</f>
        <v/>
      </c>
    </row>
    <row r="91" spans="1:14" x14ac:dyDescent="0.25">
      <c r="A91" s="3"/>
      <c r="B91" s="3"/>
      <c r="C91" s="2"/>
      <c r="D91" s="4"/>
      <c r="E91" s="4"/>
      <c r="F91" s="4"/>
      <c r="G91" s="3"/>
      <c r="H91" s="3"/>
      <c r="I91" s="3"/>
      <c r="J91" s="4"/>
      <c r="K91" s="2"/>
      <c r="L91" s="2"/>
      <c r="M91" s="3"/>
      <c r="N91" t="str">
        <f>IF($M91="Manutenção",COUNTIF($M$3:$M91,"Manutenção"),"")</f>
        <v/>
      </c>
    </row>
    <row r="92" spans="1:14" x14ac:dyDescent="0.25">
      <c r="A92" s="3"/>
      <c r="B92" s="3"/>
      <c r="C92" s="2"/>
      <c r="D92" s="4"/>
      <c r="E92" s="4"/>
      <c r="F92" s="4"/>
      <c r="G92" s="3"/>
      <c r="H92" s="3"/>
      <c r="I92" s="3"/>
      <c r="J92" s="4"/>
      <c r="K92" s="2"/>
      <c r="L92" s="2"/>
      <c r="M92" s="3"/>
      <c r="N92" t="str">
        <f>IF($M92="Manutenção",COUNTIF($M$3:$M92,"Manutenção"),"")</f>
        <v/>
      </c>
    </row>
    <row r="93" spans="1:14" x14ac:dyDescent="0.25">
      <c r="A93" s="3"/>
      <c r="B93" s="3"/>
      <c r="C93" s="2"/>
      <c r="D93" s="4"/>
      <c r="E93" s="4"/>
      <c r="F93" s="4"/>
      <c r="G93" s="3"/>
      <c r="H93" s="3"/>
      <c r="I93" s="3"/>
      <c r="J93" s="4"/>
      <c r="K93" s="2"/>
      <c r="L93" s="2"/>
      <c r="M93" s="3"/>
      <c r="N93" t="str">
        <f>IF($M93="Manutenção",COUNTIF($M$3:$M93,"Manutenção"),"")</f>
        <v/>
      </c>
    </row>
    <row r="94" spans="1:14" x14ac:dyDescent="0.25">
      <c r="A94" s="3"/>
      <c r="B94" s="3"/>
      <c r="C94" s="2"/>
      <c r="D94" s="4"/>
      <c r="E94" s="4"/>
      <c r="F94" s="4"/>
      <c r="G94" s="3"/>
      <c r="H94" s="3"/>
      <c r="I94" s="3"/>
      <c r="J94" s="4"/>
      <c r="K94" s="2"/>
      <c r="L94" s="2"/>
      <c r="M94" s="3"/>
      <c r="N94" t="str">
        <f>IF($M94="Manutenção",COUNTIF($M$3:$M94,"Manutenção"),"")</f>
        <v/>
      </c>
    </row>
    <row r="95" spans="1:14" x14ac:dyDescent="0.25">
      <c r="A95" s="3"/>
      <c r="B95" s="3"/>
      <c r="C95" s="2"/>
      <c r="D95" s="4"/>
      <c r="E95" s="4"/>
      <c r="F95" s="4"/>
      <c r="G95" s="3"/>
      <c r="H95" s="3"/>
      <c r="I95" s="3"/>
      <c r="J95" s="4"/>
      <c r="K95" s="2"/>
      <c r="L95" s="2"/>
      <c r="M95" s="3"/>
      <c r="N95" t="str">
        <f>IF($M95="Manutenção",COUNTIF($M$3:$M95,"Manutenção"),"")</f>
        <v/>
      </c>
    </row>
    <row r="96" spans="1:14" x14ac:dyDescent="0.25">
      <c r="A96" s="3"/>
      <c r="B96" s="3"/>
      <c r="C96" s="2"/>
      <c r="D96" s="4"/>
      <c r="E96" s="4"/>
      <c r="F96" s="4"/>
      <c r="G96" s="3"/>
      <c r="H96" s="3"/>
      <c r="I96" s="3"/>
      <c r="J96" s="4"/>
      <c r="K96" s="2"/>
      <c r="L96" s="2"/>
      <c r="M96" s="3"/>
      <c r="N96" t="str">
        <f>IF($M96="Manutenção",COUNTIF($M$3:$M96,"Manutenção"),"")</f>
        <v/>
      </c>
    </row>
    <row r="97" spans="1:14" x14ac:dyDescent="0.25">
      <c r="A97" s="3"/>
      <c r="B97" s="3"/>
      <c r="C97" s="2"/>
      <c r="D97" s="4"/>
      <c r="E97" s="4"/>
      <c r="F97" s="4"/>
      <c r="G97" s="3"/>
      <c r="H97" s="3"/>
      <c r="I97" s="3"/>
      <c r="J97" s="4"/>
      <c r="K97" s="2"/>
      <c r="L97" s="2"/>
      <c r="M97" s="3"/>
      <c r="N97" t="str">
        <f>IF($M97="Manutenção",COUNTIF($M$3:$M97,"Manutenção"),"")</f>
        <v/>
      </c>
    </row>
    <row r="98" spans="1:14" x14ac:dyDescent="0.25">
      <c r="A98" s="3"/>
      <c r="B98" s="3"/>
      <c r="C98" s="2"/>
      <c r="D98" s="4"/>
      <c r="E98" s="4"/>
      <c r="F98" s="4"/>
      <c r="G98" s="3"/>
      <c r="H98" s="3"/>
      <c r="I98" s="3"/>
      <c r="J98" s="4"/>
      <c r="K98" s="2"/>
      <c r="L98" s="2"/>
      <c r="M98" s="3"/>
      <c r="N98" t="str">
        <f>IF($M98="Manutenção",COUNTIF($M$3:$M98,"Manutenção"),"")</f>
        <v/>
      </c>
    </row>
    <row r="99" spans="1:14" x14ac:dyDescent="0.25">
      <c r="A99" s="3"/>
      <c r="B99" s="3"/>
      <c r="C99" s="2"/>
      <c r="D99" s="4"/>
      <c r="E99" s="4"/>
      <c r="F99" s="4"/>
      <c r="G99" s="3"/>
      <c r="H99" s="3"/>
      <c r="I99" s="3"/>
      <c r="J99" s="4"/>
      <c r="K99" s="2"/>
      <c r="L99" s="2"/>
      <c r="M99" s="3"/>
      <c r="N99" t="str">
        <f>IF($M99="Manutenção",COUNTIF($M$3:$M99,"Manutenção"),"")</f>
        <v/>
      </c>
    </row>
    <row r="100" spans="1:14" x14ac:dyDescent="0.25">
      <c r="A100" s="3"/>
      <c r="B100" s="3"/>
      <c r="C100" s="2"/>
      <c r="D100" s="4"/>
      <c r="E100" s="4"/>
      <c r="F100" s="4"/>
      <c r="G100" s="3"/>
      <c r="H100" s="3"/>
      <c r="I100" s="3"/>
      <c r="J100" s="4"/>
      <c r="K100" s="2"/>
      <c r="L100" s="2"/>
      <c r="M100" s="3"/>
      <c r="N100" t="str">
        <f>IF($M100="Manutenção",COUNTIF($M$3:$M100,"Manutenção"),"")</f>
        <v/>
      </c>
    </row>
    <row r="101" spans="1:14" x14ac:dyDescent="0.25">
      <c r="A101" s="3"/>
      <c r="B101" s="3"/>
      <c r="C101" s="2"/>
      <c r="D101" s="4"/>
      <c r="E101" s="4"/>
      <c r="F101" s="4"/>
      <c r="G101" s="3"/>
      <c r="H101" s="3"/>
      <c r="I101" s="3"/>
      <c r="J101" s="4"/>
      <c r="K101" s="2"/>
      <c r="L101" s="2"/>
      <c r="M101" s="3"/>
      <c r="N101" t="str">
        <f>IF($M101="Manutenção",COUNTIF($M$3:$M101,"Manutenção"),"")</f>
        <v/>
      </c>
    </row>
    <row r="102" spans="1:14" x14ac:dyDescent="0.25">
      <c r="A102" s="3"/>
      <c r="B102" s="3"/>
      <c r="C102" s="2"/>
      <c r="D102" s="4"/>
      <c r="E102" s="4"/>
      <c r="F102" s="4"/>
      <c r="G102" s="3"/>
      <c r="H102" s="3"/>
      <c r="I102" s="3"/>
      <c r="J102" s="4"/>
      <c r="K102" s="2"/>
      <c r="L102" s="2"/>
      <c r="M102" s="3"/>
      <c r="N102" t="str">
        <f>IF($M102="Manutenção",COUNTIF($M$3:$M102,"Manutenção"),"")</f>
        <v/>
      </c>
    </row>
    <row r="103" spans="1:14" x14ac:dyDescent="0.25">
      <c r="A103" s="3"/>
      <c r="B103" s="3"/>
      <c r="C103" s="2"/>
      <c r="D103" s="4"/>
      <c r="E103" s="4"/>
      <c r="F103" s="4"/>
      <c r="G103" s="3"/>
      <c r="H103" s="3"/>
      <c r="I103" s="3"/>
      <c r="J103" s="4"/>
      <c r="K103" s="2"/>
      <c r="L103" s="2"/>
      <c r="M103" s="3"/>
      <c r="N103" t="str">
        <f>IF($M103="Manutenção",COUNTIF($M$3:$M103,"Manutenção"),"")</f>
        <v/>
      </c>
    </row>
    <row r="104" spans="1:14" x14ac:dyDescent="0.25">
      <c r="A104" s="3"/>
      <c r="B104" s="3"/>
      <c r="C104" s="2"/>
      <c r="D104" s="4"/>
      <c r="E104" s="4"/>
      <c r="F104" s="4"/>
      <c r="G104" s="3"/>
      <c r="H104" s="3"/>
      <c r="I104" s="3"/>
      <c r="J104" s="4"/>
      <c r="K104" s="2"/>
      <c r="L104" s="2"/>
      <c r="M104" s="3"/>
      <c r="N104" t="str">
        <f>IF($M104="Manutenção",COUNTIF($M$3:$M104,"Manutenção"),"")</f>
        <v/>
      </c>
    </row>
    <row r="105" spans="1:14" x14ac:dyDescent="0.25">
      <c r="A105" s="3"/>
      <c r="B105" s="3"/>
      <c r="C105" s="2"/>
      <c r="D105" s="4"/>
      <c r="E105" s="4"/>
      <c r="F105" s="4"/>
      <c r="G105" s="3"/>
      <c r="H105" s="3"/>
      <c r="I105" s="3"/>
      <c r="J105" s="4"/>
      <c r="K105" s="2"/>
      <c r="L105" s="2"/>
      <c r="M105" s="3"/>
      <c r="N105" t="str">
        <f>IF($M105="Manutenção",COUNTIF($M$3:$M105,"Manutenção"),"")</f>
        <v/>
      </c>
    </row>
    <row r="106" spans="1:14" x14ac:dyDescent="0.25">
      <c r="A106" s="3"/>
      <c r="B106" s="3"/>
      <c r="C106" s="2"/>
      <c r="D106" s="4"/>
      <c r="E106" s="4"/>
      <c r="F106" s="4"/>
      <c r="G106" s="3"/>
      <c r="H106" s="3"/>
      <c r="I106" s="3"/>
      <c r="J106" s="4"/>
      <c r="K106" s="2"/>
      <c r="L106" s="2"/>
      <c r="M106" s="3"/>
      <c r="N106" t="str">
        <f>IF($M106="Manutenção",COUNTIF($M$3:$M106,"Manutenção"),"")</f>
        <v/>
      </c>
    </row>
    <row r="110" spans="1:14" x14ac:dyDescent="0.25">
      <c r="A110" s="57" t="s">
        <v>64</v>
      </c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</row>
    <row r="111" spans="1:14" ht="15" customHeight="1" x14ac:dyDescent="0.25">
      <c r="A111" s="58" t="s">
        <v>65</v>
      </c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</row>
    <row r="112" spans="1:14" x14ac:dyDescent="0.25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</row>
    <row r="113" spans="1:13" x14ac:dyDescent="0.25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</row>
    <row r="114" spans="1:13" x14ac:dyDescent="0.25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</row>
    <row r="115" spans="1:13" x14ac:dyDescent="0.25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</row>
    <row r="116" spans="1:13" x14ac:dyDescent="0.25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</row>
    <row r="117" spans="1:13" x14ac:dyDescent="0.25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</row>
    <row r="118" spans="1:13" x14ac:dyDescent="0.25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</row>
  </sheetData>
  <mergeCells count="3">
    <mergeCell ref="A1:M1"/>
    <mergeCell ref="A110:M110"/>
    <mergeCell ref="A111:M118"/>
  </mergeCells>
  <dataValidations count="4">
    <dataValidation type="list" allowBlank="1" sqref="M2 I1:I7 I9:I11 I13 H1 G1:G11 H21:H1048576 G16:G1048576 I16:I1048576 M17" xr:uid="{A66BC70D-CDB0-4380-ACC9-DE3140815A87}">
      <formula1>"Dialogo Alvaro Ramos,Obra P.Raposo,JVM Casa Alba,Estoque Brito"</formula1>
    </dataValidation>
    <dataValidation type="list" allowBlank="1" sqref="J12:J15 G12:G15 K3:L106" xr:uid="{00000000-0002-0000-0300-000003000000}">
      <formula1>"Sim,Não"</formula1>
      <formula2>0</formula2>
    </dataValidation>
    <dataValidation type="list" allowBlank="1" sqref="H3:H20" xr:uid="{00000000-0002-0000-0300-000004000000}">
      <formula1>"Ferragens União,Construmax Materiais,Ferramentas Tork Distribuidora,Elétrica Sul Ltda,EPI Total Equipamentos,Outro"</formula1>
      <formula2>0</formula2>
    </dataValidation>
    <dataValidation type="list" allowBlank="1" sqref="M3:M16 M18:M106" xr:uid="{00000000-0002-0000-0300-000005000000}">
      <formula1>"Em uso,Em estoque,Manutenção,Baixado"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Instruções</vt:lpstr>
      <vt:lpstr>Visão Geral</vt:lpstr>
      <vt:lpstr>Materiais Diversos</vt:lpstr>
      <vt:lpstr>Ferramentas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1</cp:revision>
  <dcterms:created xsi:type="dcterms:W3CDTF">2026-09-02T11:48:10Z</dcterms:created>
  <dcterms:modified xsi:type="dcterms:W3CDTF">2026-09-09T15:21:28Z</dcterms:modified>
  <dc:language>en-US</dc:language>
</cp:coreProperties>
</file>