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lucas\Desktop\"/>
    </mc:Choice>
  </mc:AlternateContent>
  <xr:revisionPtr revIDLastSave="0" documentId="8_{562E7A5B-034A-48FA-BF59-C9467703F01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ED - Pe. Raposo" sheetId="1" r:id="rId1"/>
  </sheets>
  <definedNames>
    <definedName name="_0_CURVA_OBRA">NA()</definedName>
    <definedName name="_00_VAR__GASTO">NA()</definedName>
    <definedName name="_000_CURVA_FINA">NA()</definedName>
    <definedName name="_11_SERV_TECNIC">NA()</definedName>
    <definedName name="_12_GAST_GERAIS">NA()</definedName>
    <definedName name="_13_P__PERMAN_">NA()</definedName>
    <definedName name="_15_IMPL__CANT">NA()</definedName>
    <definedName name="_16_EQUIPAM_">NA()</definedName>
    <definedName name="_17_OPER__CANT_">NA()</definedName>
    <definedName name="_19_TRANC_LIMP_">NA()</definedName>
    <definedName name="_25_PREP_TERREN">NA()</definedName>
    <definedName name="_27_FUND__ESCOR">NA()</definedName>
    <definedName name="_31_32_33_C_A">NA()</definedName>
    <definedName name="_41_ALVENARIA">NA()</definedName>
    <definedName name="_47_IMP__ISOLA_">NA()</definedName>
    <definedName name="_51_REV_ARGAMAS">NA()</definedName>
    <definedName name="_52_REV_CERAM_I">NA()</definedName>
    <definedName name="_53_REV_CERAM_E">NA()</definedName>
    <definedName name="_54_TACOS_E_ASS">NA()</definedName>
    <definedName name="_55_MARM__E_GRA">NA()</definedName>
    <definedName name="_56_MARMORITE">NA()</definedName>
    <definedName name="_59_OUTRS_REVES">NA()</definedName>
    <definedName name="_61_ESQUAD__MAD">NA()</definedName>
    <definedName name="_63_ESQUAD__ALU">NA()</definedName>
    <definedName name="_65_ESQUAD__FER">NA()</definedName>
    <definedName name="_67_VIDROS">NA()</definedName>
    <definedName name="_71_73_I_ELET_H">NA()</definedName>
    <definedName name="_77_OUTRAS_INST_">NA()</definedName>
    <definedName name="_78_ELEVADORES">NA()</definedName>
    <definedName name="_81_APAR__SANIT">NA()</definedName>
    <definedName name="_83_85_PINT_LIM">NA()</definedName>
    <definedName name="_Fill">NA()</definedName>
    <definedName name="_la29">NA()</definedName>
    <definedName name="_la3">NA()</definedName>
    <definedName name="_la31">NA()</definedName>
    <definedName name="_la32">NA()</definedName>
    <definedName name="_la4">NA()</definedName>
    <definedName name="_la5">NA()</definedName>
    <definedName name="_la6">NA()</definedName>
    <definedName name="_la7">NA()</definedName>
    <definedName name="_la8">NA()</definedName>
    <definedName name="_la9">NA()</definedName>
    <definedName name="_lb1">NA()</definedName>
    <definedName name="_lb10">NA()</definedName>
    <definedName name="_lb11">NA()</definedName>
    <definedName name="_lb12">NA()</definedName>
    <definedName name="_lb13">NA()</definedName>
    <definedName name="_lb14">NA()</definedName>
    <definedName name="_lb15">NA()</definedName>
    <definedName name="_lb16">NA()</definedName>
    <definedName name="_lb17">NA()</definedName>
    <definedName name="_lb18">NA()</definedName>
    <definedName name="_lb19">NA()</definedName>
    <definedName name="_lb2">NA()</definedName>
    <definedName name="_lb20">NA()</definedName>
    <definedName name="_lb21">NA()</definedName>
    <definedName name="_lb22">NA()</definedName>
    <definedName name="_lb23">NA()</definedName>
    <definedName name="_lb24">NA()</definedName>
    <definedName name="_lb25">NA()</definedName>
    <definedName name="_lb27">NA()</definedName>
    <definedName name="_lb28">NA()</definedName>
    <definedName name="_lb29">NA()</definedName>
    <definedName name="_lb3">NA()</definedName>
    <definedName name="_lb30">NA()</definedName>
    <definedName name="_lb31">NA()</definedName>
    <definedName name="_lb32">NA()</definedName>
    <definedName name="_lb4">NA()</definedName>
    <definedName name="_lb5">NA()</definedName>
    <definedName name="_lb6">NA()</definedName>
    <definedName name="_lb7">NA()</definedName>
    <definedName name="_lb8">NA()</definedName>
    <definedName name="_lb9">NA()</definedName>
    <definedName name="_lbc1">NA()</definedName>
    <definedName name="_lbc10">NA()</definedName>
    <definedName name="_lbc11">NA()</definedName>
    <definedName name="_lbc12">NA()</definedName>
    <definedName name="_lbc13">NA()</definedName>
    <definedName name="_lbc14">NA()</definedName>
    <definedName name="_lbc15">NA()</definedName>
    <definedName name="_lbc16">NA()</definedName>
    <definedName name="_lbc17">NA()</definedName>
    <definedName name="_lbc18">NA()</definedName>
    <definedName name="_lbc19">NA()</definedName>
    <definedName name="_lbc2">NA()</definedName>
    <definedName name="_lbc20">NA()</definedName>
    <definedName name="_lbc21">NA()</definedName>
    <definedName name="_lbc22">NA()</definedName>
    <definedName name="_lbc23">NA()</definedName>
    <definedName name="_lbc24">NA()</definedName>
    <definedName name="_lbc25">NA()</definedName>
    <definedName name="_lbc26">NA()</definedName>
    <definedName name="_lbc27">NA()</definedName>
    <definedName name="_lbc28">NA()</definedName>
    <definedName name="_lbc29">NA()</definedName>
    <definedName name="_lbc3">NA()</definedName>
    <definedName name="_lbc31">NA()</definedName>
    <definedName name="_lbc32">NA()</definedName>
    <definedName name="_lbc4">NA()</definedName>
    <definedName name="_lbc5">NA()</definedName>
    <definedName name="_lbc6">NA()</definedName>
    <definedName name="_lbc7">NA()</definedName>
    <definedName name="_lbc8">NA()</definedName>
    <definedName name="_lbc9">NA()</definedName>
    <definedName name="_ld26">NA()</definedName>
    <definedName name="_ld31">NA()</definedName>
    <definedName name="_le31">NA()</definedName>
    <definedName name="_lf31">NA()</definedName>
    <definedName name="_x10">NA()</definedName>
    <definedName name="_x11">NA()</definedName>
    <definedName name="_x12">NA()</definedName>
    <definedName name="_x13">NA()</definedName>
    <definedName name="_x14">NA()</definedName>
    <definedName name="_x15">NA()</definedName>
    <definedName name="_x16">NA()</definedName>
    <definedName name="_x17">NA()</definedName>
    <definedName name="_x18">NA()</definedName>
    <definedName name="_x19">NA()</definedName>
    <definedName name="_x20">NA()</definedName>
    <definedName name="_x21">NA()</definedName>
    <definedName name="_x22">NA()</definedName>
    <definedName name="_x23">NA()</definedName>
    <definedName name="_x24">NA()</definedName>
    <definedName name="_x25">NA()</definedName>
    <definedName name="_x28">NA()</definedName>
    <definedName name="_x29">NA()</definedName>
    <definedName name="_x32">NA()</definedName>
    <definedName name="_x4">NA()</definedName>
    <definedName name="_x5">NA()</definedName>
    <definedName name="_x6">NA()</definedName>
    <definedName name="_x7">NA()</definedName>
    <definedName name="_x8">NA()</definedName>
    <definedName name="_x9">NA()</definedName>
    <definedName name="a" localSheetId="0">NA()</definedName>
    <definedName name="a">NA()</definedName>
    <definedName name="aa">NA()</definedName>
    <definedName name="achar18">NA()</definedName>
    <definedName name="achar19">NA()</definedName>
    <definedName name="achart1">NA()</definedName>
    <definedName name="achart10">NA()</definedName>
    <definedName name="achart11">NA()</definedName>
    <definedName name="achart12">NA()</definedName>
    <definedName name="achart13">NA()</definedName>
    <definedName name="achart14">NA()</definedName>
    <definedName name="achart15">NA()</definedName>
    <definedName name="achart16">NA()</definedName>
    <definedName name="achart17">NA()</definedName>
    <definedName name="achart2">NA()</definedName>
    <definedName name="achart20">NA()</definedName>
    <definedName name="achart21">NA()</definedName>
    <definedName name="achart22">NA()</definedName>
    <definedName name="achart23">NA()</definedName>
    <definedName name="achart24">NA()</definedName>
    <definedName name="achart25">NA()</definedName>
    <definedName name="achart26">NA()</definedName>
    <definedName name="achart27">NA()</definedName>
    <definedName name="achart28">NA()</definedName>
    <definedName name="achart29">NA()</definedName>
    <definedName name="achart3">NA()</definedName>
    <definedName name="achart30">NA()</definedName>
    <definedName name="achart31">NA()</definedName>
    <definedName name="achart32">NA()</definedName>
    <definedName name="achart4">NA()</definedName>
    <definedName name="achart5">NA()</definedName>
    <definedName name="achart6">NA()</definedName>
    <definedName name="achart7">NA()</definedName>
    <definedName name="achart8">NA()</definedName>
    <definedName name="achart9">NA()</definedName>
    <definedName name="ACOMP">NA()</definedName>
    <definedName name="ADM_EXTERNA">NA()</definedName>
    <definedName name="area">NA()</definedName>
    <definedName name="_xlnm.Print_Area" localSheetId="0">'MED - Pe. Raposo'!$B$5:$CM$134</definedName>
    <definedName name="BARRETE">NA()</definedName>
    <definedName name="bchar10">NA()</definedName>
    <definedName name="bchart1">NA()</definedName>
    <definedName name="bchart11">NA()</definedName>
    <definedName name="bchart12">NA()</definedName>
    <definedName name="bchart13">NA()</definedName>
    <definedName name="bchart14">NA()</definedName>
    <definedName name="bchart15">NA()</definedName>
    <definedName name="bchart16">NA()</definedName>
    <definedName name="bchart17">NA()</definedName>
    <definedName name="bchart18">NA()</definedName>
    <definedName name="bchart19">NA()</definedName>
    <definedName name="bchart2">NA()</definedName>
    <definedName name="bchart20">NA()</definedName>
    <definedName name="bchart21">NA()</definedName>
    <definedName name="bchart22">NA()</definedName>
    <definedName name="bchart23">NA()</definedName>
    <definedName name="bchart24">NA()</definedName>
    <definedName name="bchart25">NA()</definedName>
    <definedName name="bchart26">NA()</definedName>
    <definedName name="bchart27">NA()</definedName>
    <definedName name="bchart28">NA()</definedName>
    <definedName name="bchart29">NA()</definedName>
    <definedName name="bchart3">NA()</definedName>
    <definedName name="bchart30">NA()</definedName>
    <definedName name="bchart31">NA()</definedName>
    <definedName name="bchart32">NA()</definedName>
    <definedName name="bchart4">NA()</definedName>
    <definedName name="bchart5">NA()</definedName>
    <definedName name="bchart6">NA()</definedName>
    <definedName name="bchart7">NA()</definedName>
    <definedName name="bchart8">NA()</definedName>
    <definedName name="bchart9">NA()</definedName>
    <definedName name="cchart1">NA()</definedName>
    <definedName name="cchart10">NA()</definedName>
    <definedName name="cchart11">NA()</definedName>
    <definedName name="cchart12">NA()</definedName>
    <definedName name="cchart13">NA()</definedName>
    <definedName name="cchart14">NA()</definedName>
    <definedName name="cchart15">NA()</definedName>
    <definedName name="cchart16">NA()</definedName>
    <definedName name="cchart17">NA()</definedName>
    <definedName name="cchart18">NA()</definedName>
    <definedName name="cchart19">NA()</definedName>
    <definedName name="cchart2">NA()</definedName>
    <definedName name="cchart20">NA()</definedName>
    <definedName name="cchart21">NA()</definedName>
    <definedName name="cchart22">NA()</definedName>
    <definedName name="cchart23">NA()</definedName>
    <definedName name="cchart24">NA()</definedName>
    <definedName name="cchart25">NA()</definedName>
    <definedName name="cchart26">NA()</definedName>
    <definedName name="cchart27">NA()</definedName>
    <definedName name="cchart28">NA()</definedName>
    <definedName name="cchart29">NA()</definedName>
    <definedName name="cchart3">NA()</definedName>
    <definedName name="cchart31">NA()</definedName>
    <definedName name="cchart32">NA()</definedName>
    <definedName name="cchart4">NA()</definedName>
    <definedName name="cchart5">NA()</definedName>
    <definedName name="cchart6">NA()</definedName>
    <definedName name="cchart7">NA()</definedName>
    <definedName name="cchart8">NA()</definedName>
    <definedName name="cchart9">NA()</definedName>
    <definedName name="completo">NA()</definedName>
    <definedName name="COMPOSICAO">NA()</definedName>
    <definedName name="cortina_1">NA()</definedName>
    <definedName name="cortina_2" localSheetId="0">NA()</definedName>
    <definedName name="cortina_2">NA()</definedName>
    <definedName name="CRONG">NA()</definedName>
    <definedName name="dchart26">NA()</definedName>
    <definedName name="dchart31">NA()</definedName>
    <definedName name="DIAFPREMOLD">NA()</definedName>
    <definedName name="DIAFRAF_INLOCO">NA()</definedName>
    <definedName name="DIAFRAINLOCO">NA()</definedName>
    <definedName name="DIAFRAPREMOL">NA()</definedName>
    <definedName name="DRENAGEM">NA()</definedName>
    <definedName name="echart31">NA()</definedName>
    <definedName name="ESTESCAVADA">NA()</definedName>
    <definedName name="ESTFRANKI">NA()</definedName>
    <definedName name="ESTMETAL">NA()</definedName>
    <definedName name="ESTPREMOLD">NA()</definedName>
    <definedName name="ESTRAIZ">NA()</definedName>
    <definedName name="Excel_BuiltIn_Database">NA()</definedName>
    <definedName name="Excel_BuiltIn_Print_Area" localSheetId="0">NA()</definedName>
    <definedName name="Excel_BuiltIn_Sheet_Title" localSheetId="0">"PLAN MEDIÇÃO Blue Diadema 1"</definedName>
    <definedName name="fchart31">NA()</definedName>
    <definedName name="FL_1">NA()</definedName>
    <definedName name="g_10">NA()</definedName>
    <definedName name="g_11">NA()</definedName>
    <definedName name="g_12">NA()</definedName>
    <definedName name="g_13">NA()</definedName>
    <definedName name="G_15">NA()</definedName>
    <definedName name="G_16">NA()</definedName>
    <definedName name="G_17">NA()</definedName>
    <definedName name="G_19">NA()</definedName>
    <definedName name="g_21">NA()</definedName>
    <definedName name="G_25">NA()</definedName>
    <definedName name="G_27">NA()</definedName>
    <definedName name="G_31">NA()</definedName>
    <definedName name="G_32">NA()</definedName>
    <definedName name="G_33">NA()</definedName>
    <definedName name="g_34">NA()</definedName>
    <definedName name="G_35" localSheetId="0">NA()</definedName>
    <definedName name="G_35">NA()</definedName>
    <definedName name="g_37" localSheetId="0">NA()</definedName>
    <definedName name="g_37">NA()</definedName>
    <definedName name="G_41">NA()</definedName>
    <definedName name="G_45">NA()</definedName>
    <definedName name="G_47">NA()</definedName>
    <definedName name="G_51">NA()</definedName>
    <definedName name="G_52">NA()</definedName>
    <definedName name="G_53">NA()</definedName>
    <definedName name="G_54">NA()</definedName>
    <definedName name="G_55">NA()</definedName>
    <definedName name="G_56">NA()</definedName>
    <definedName name="G_57">NA()</definedName>
    <definedName name="G_58">NA()</definedName>
    <definedName name="G_59">NA()</definedName>
    <definedName name="G_61">NA()</definedName>
    <definedName name="G_63">NA()</definedName>
    <definedName name="g_65">NA()</definedName>
    <definedName name="G_67">NA()</definedName>
    <definedName name="g_68" localSheetId="0">NA()</definedName>
    <definedName name="g_68">NA()</definedName>
    <definedName name="g_69" localSheetId="0">NA()</definedName>
    <definedName name="g_69">NA()</definedName>
    <definedName name="G_71">NA()</definedName>
    <definedName name="G_73">NA()</definedName>
    <definedName name="G_75" localSheetId="0">NA()</definedName>
    <definedName name="G_75">NA()</definedName>
    <definedName name="G_77" localSheetId="0">NA()</definedName>
    <definedName name="G_77">NA()</definedName>
    <definedName name="G_78">NA()</definedName>
    <definedName name="G_81">NA()</definedName>
    <definedName name="G_83">NA()</definedName>
    <definedName name="G_85">NA()</definedName>
    <definedName name="G_87" localSheetId="0">NA()</definedName>
    <definedName name="G_87">NA()</definedName>
    <definedName name="G_90">NA()</definedName>
    <definedName name="G_91">NA()</definedName>
    <definedName name="G_92">NA()</definedName>
    <definedName name="G_94">NA()</definedName>
    <definedName name="G_95">NA()</definedName>
    <definedName name="G_96">NA()</definedName>
    <definedName name="GLOBAL">NA()</definedName>
    <definedName name="gr_25" localSheetId="0">NA()</definedName>
    <definedName name="gr_25">NA()</definedName>
    <definedName name="HONO2I">NA()</definedName>
    <definedName name="HONORARIOS">NA()</definedName>
    <definedName name="IMPOSTO">NA()</definedName>
    <definedName name="lbla1">NA()</definedName>
    <definedName name="lbla10">NA()</definedName>
    <definedName name="lbla11">NA()</definedName>
    <definedName name="lbla12">NA()</definedName>
    <definedName name="lbla13">NA()</definedName>
    <definedName name="lbla14">NA()</definedName>
    <definedName name="lbla15">NA()</definedName>
    <definedName name="lbla16">NA()</definedName>
    <definedName name="lbla17">NA()</definedName>
    <definedName name="lbla18">NA()</definedName>
    <definedName name="lbla19">NA()</definedName>
    <definedName name="lbla2">NA()</definedName>
    <definedName name="lbla20">NA()</definedName>
    <definedName name="lbla21">NA()</definedName>
    <definedName name="lbla22">NA()</definedName>
    <definedName name="lbla23">NA()</definedName>
    <definedName name="lbla24">NA()</definedName>
    <definedName name="lbla25">NA()</definedName>
    <definedName name="lbla27">NA()</definedName>
    <definedName name="lbla28">NA()</definedName>
    <definedName name="mil">NA()</definedName>
    <definedName name="PLANILHA">NA()</definedName>
    <definedName name="PRACHEAM">NA()</definedName>
    <definedName name="PRANCHEAM">NA()</definedName>
    <definedName name="prazo_obra">NA()</definedName>
    <definedName name="QQQ">NA()</definedName>
    <definedName name="REBAILENCOL">NA()</definedName>
    <definedName name="REBAIXLENC">NA()</definedName>
    <definedName name="REL_RJ">NA()</definedName>
    <definedName name="REL_SP">NA()</definedName>
    <definedName name="resfund">NA()</definedName>
    <definedName name="RESUMO">NA()</definedName>
    <definedName name="s" localSheetId="0">NA()</definedName>
    <definedName name="s">NA()</definedName>
    <definedName name="SAPATA">NA()</definedName>
    <definedName name="test">NA()</definedName>
    <definedName name="TIRANTES">NA()</definedName>
    <definedName name="_xlnm.Print_Titles" localSheetId="0">'MED - Pe. Raposo'!$B:$L,'MED - Pe. Raposo'!$5:$8</definedName>
    <definedName name="VOLUME1">NA()</definedName>
    <definedName name="VOLUME2">NA()</definedName>
    <definedName name="VOLUME3">NA()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1" l="1"/>
  <c r="H16" i="1"/>
  <c r="H15" i="1"/>
  <c r="H14" i="1"/>
  <c r="H33" i="1"/>
  <c r="H32" i="1"/>
  <c r="H31" i="1"/>
  <c r="H30" i="1"/>
  <c r="H48" i="1"/>
  <c r="H47" i="1"/>
  <c r="H45" i="1"/>
  <c r="H46" i="1"/>
  <c r="H110" i="1"/>
  <c r="H109" i="1"/>
  <c r="F109" i="1" s="1"/>
  <c r="H112" i="1"/>
  <c r="CJ118" i="1"/>
  <c r="CH118" i="1"/>
  <c r="CL118" i="1" s="1"/>
  <c r="CD118" i="1"/>
  <c r="CF118" i="1" s="1"/>
  <c r="BV118" i="1"/>
  <c r="BX118" i="1" s="1"/>
  <c r="BG118" i="1"/>
  <c r="BC118" i="1"/>
  <c r="BB118" i="1"/>
  <c r="BD118" i="1" s="1"/>
  <c r="AZ118" i="1"/>
  <c r="AY118" i="1"/>
  <c r="AX118" i="1"/>
  <c r="AV118" i="1"/>
  <c r="AU118" i="1"/>
  <c r="AT118" i="1"/>
  <c r="AQ118" i="1"/>
  <c r="AP118" i="1"/>
  <c r="AR118" i="1" s="1"/>
  <c r="AM118" i="1"/>
  <c r="AL118" i="1"/>
  <c r="AN118" i="1" s="1"/>
  <c r="AJ118" i="1"/>
  <c r="AI118" i="1"/>
  <c r="AH118" i="1"/>
  <c r="AF118" i="1"/>
  <c r="AE118" i="1"/>
  <c r="AD118" i="1"/>
  <c r="AA118" i="1"/>
  <c r="Z118" i="1"/>
  <c r="AB118" i="1" s="1"/>
  <c r="W118" i="1"/>
  <c r="V118" i="1"/>
  <c r="X118" i="1" s="1"/>
  <c r="T118" i="1"/>
  <c r="S118" i="1"/>
  <c r="R118" i="1"/>
  <c r="P118" i="1"/>
  <c r="O118" i="1"/>
  <c r="N118" i="1"/>
  <c r="K118" i="1"/>
  <c r="H118" i="1"/>
  <c r="F118" i="1" s="1"/>
  <c r="E118" i="1"/>
  <c r="CJ117" i="1"/>
  <c r="CH117" i="1"/>
  <c r="CL117" i="1" s="1"/>
  <c r="CD117" i="1"/>
  <c r="CF117" i="1" s="1"/>
  <c r="BD117" i="1"/>
  <c r="BB117" i="1"/>
  <c r="AY117" i="1"/>
  <c r="AX117" i="1"/>
  <c r="AU117" i="1"/>
  <c r="AT117" i="1"/>
  <c r="AV117" i="1" s="1"/>
  <c r="AR117" i="1"/>
  <c r="AQ117" i="1"/>
  <c r="AP117" i="1"/>
  <c r="AN117" i="1"/>
  <c r="AM117" i="1"/>
  <c r="AL117" i="1"/>
  <c r="AI117" i="1"/>
  <c r="AH117" i="1"/>
  <c r="AE117" i="1"/>
  <c r="AD117" i="1"/>
  <c r="AF117" i="1" s="1"/>
  <c r="AB117" i="1"/>
  <c r="AA117" i="1"/>
  <c r="Z117" i="1"/>
  <c r="X117" i="1"/>
  <c r="W117" i="1"/>
  <c r="V117" i="1"/>
  <c r="S117" i="1"/>
  <c r="R117" i="1"/>
  <c r="O117" i="1"/>
  <c r="N117" i="1"/>
  <c r="P117" i="1" s="1"/>
  <c r="K117" i="1"/>
  <c r="H117" i="1"/>
  <c r="E117" i="1"/>
  <c r="CL116" i="1"/>
  <c r="CH116" i="1"/>
  <c r="BB116" i="1"/>
  <c r="BD116" i="1" s="1"/>
  <c r="AZ116" i="1"/>
  <c r="AY116" i="1"/>
  <c r="AX116" i="1"/>
  <c r="AV116" i="1"/>
  <c r="AU116" i="1"/>
  <c r="AT116" i="1"/>
  <c r="AQ116" i="1"/>
  <c r="AP116" i="1"/>
  <c r="AM116" i="1"/>
  <c r="AL116" i="1"/>
  <c r="AN116" i="1" s="1"/>
  <c r="AJ116" i="1"/>
  <c r="AI116" i="1"/>
  <c r="AH116" i="1"/>
  <c r="AF116" i="1"/>
  <c r="AE116" i="1"/>
  <c r="AD116" i="1"/>
  <c r="AA116" i="1"/>
  <c r="Z116" i="1"/>
  <c r="AB116" i="1" s="1"/>
  <c r="W116" i="1"/>
  <c r="V116" i="1"/>
  <c r="X116" i="1" s="1"/>
  <c r="T116" i="1"/>
  <c r="S116" i="1"/>
  <c r="R116" i="1"/>
  <c r="P116" i="1"/>
  <c r="O116" i="1"/>
  <c r="N116" i="1"/>
  <c r="CD116" i="1" s="1"/>
  <c r="CF116" i="1" s="1"/>
  <c r="K116" i="1"/>
  <c r="H116" i="1"/>
  <c r="E116" i="1"/>
  <c r="CJ115" i="1"/>
  <c r="CH115" i="1"/>
  <c r="CL115" i="1" s="1"/>
  <c r="BD115" i="1"/>
  <c r="BB115" i="1"/>
  <c r="AY115" i="1"/>
  <c r="AX115" i="1"/>
  <c r="AU115" i="1"/>
  <c r="AT115" i="1"/>
  <c r="AV115" i="1" s="1"/>
  <c r="AR115" i="1"/>
  <c r="AQ115" i="1"/>
  <c r="AP115" i="1"/>
  <c r="AM115" i="1"/>
  <c r="AN115" i="1" s="1"/>
  <c r="AL115" i="1"/>
  <c r="AI115" i="1"/>
  <c r="AH115" i="1"/>
  <c r="AE115" i="1"/>
  <c r="AD115" i="1"/>
  <c r="AF115" i="1" s="1"/>
  <c r="AB115" i="1"/>
  <c r="AA115" i="1"/>
  <c r="Z115" i="1"/>
  <c r="W115" i="1"/>
  <c r="X115" i="1" s="1"/>
  <c r="V115" i="1"/>
  <c r="S115" i="1"/>
  <c r="R115" i="1"/>
  <c r="O115" i="1"/>
  <c r="N115" i="1"/>
  <c r="P115" i="1" s="1"/>
  <c r="K115" i="1"/>
  <c r="H115" i="1"/>
  <c r="E115" i="1"/>
  <c r="CH114" i="1"/>
  <c r="CL114" i="1" s="1"/>
  <c r="CF114" i="1"/>
  <c r="BB114" i="1"/>
  <c r="BD114" i="1" s="1"/>
  <c r="AZ114" i="1"/>
  <c r="AY114" i="1"/>
  <c r="AX114" i="1"/>
  <c r="AV114" i="1"/>
  <c r="AU114" i="1"/>
  <c r="AT114" i="1"/>
  <c r="AQ114" i="1"/>
  <c r="AP114" i="1"/>
  <c r="AM114" i="1"/>
  <c r="AL114" i="1"/>
  <c r="AN114" i="1" s="1"/>
  <c r="AJ114" i="1"/>
  <c r="AI114" i="1"/>
  <c r="AH114" i="1"/>
  <c r="AE114" i="1"/>
  <c r="AF114" i="1" s="1"/>
  <c r="AD114" i="1"/>
  <c r="AA114" i="1"/>
  <c r="Z114" i="1"/>
  <c r="W114" i="1"/>
  <c r="V114" i="1"/>
  <c r="X114" i="1" s="1"/>
  <c r="T114" i="1"/>
  <c r="S114" i="1"/>
  <c r="R114" i="1"/>
  <c r="P114" i="1"/>
  <c r="O114" i="1"/>
  <c r="N114" i="1"/>
  <c r="CD114" i="1" s="1"/>
  <c r="K114" i="1"/>
  <c r="H114" i="1"/>
  <c r="E114" i="1"/>
  <c r="CJ113" i="1"/>
  <c r="CH113" i="1"/>
  <c r="CL113" i="1" s="1"/>
  <c r="BN113" i="1"/>
  <c r="BP113" i="1" s="1"/>
  <c r="BD113" i="1"/>
  <c r="BB113" i="1"/>
  <c r="AY113" i="1"/>
  <c r="AX113" i="1"/>
  <c r="AU113" i="1"/>
  <c r="AT113" i="1"/>
  <c r="AV113" i="1" s="1"/>
  <c r="AR113" i="1"/>
  <c r="AQ113" i="1"/>
  <c r="AP113" i="1"/>
  <c r="AN113" i="1"/>
  <c r="AM113" i="1"/>
  <c r="AL113" i="1"/>
  <c r="AI113" i="1"/>
  <c r="AH113" i="1"/>
  <c r="AJ113" i="1" s="1"/>
  <c r="AE113" i="1"/>
  <c r="AD113" i="1"/>
  <c r="AF113" i="1" s="1"/>
  <c r="AB113" i="1"/>
  <c r="AA113" i="1"/>
  <c r="Z113" i="1"/>
  <c r="X113" i="1"/>
  <c r="W113" i="1"/>
  <c r="V113" i="1"/>
  <c r="S113" i="1"/>
  <c r="R113" i="1"/>
  <c r="O113" i="1"/>
  <c r="N113" i="1"/>
  <c r="P113" i="1" s="1"/>
  <c r="K113" i="1"/>
  <c r="H113" i="1"/>
  <c r="F113" i="1"/>
  <c r="E113" i="1"/>
  <c r="CH112" i="1"/>
  <c r="BB112" i="1"/>
  <c r="BD112" i="1" s="1"/>
  <c r="AZ112" i="1"/>
  <c r="AY112" i="1"/>
  <c r="AX112" i="1"/>
  <c r="AV112" i="1"/>
  <c r="AU112" i="1"/>
  <c r="AT112" i="1"/>
  <c r="AQ112" i="1"/>
  <c r="AP112" i="1"/>
  <c r="AR112" i="1" s="1"/>
  <c r="AM112" i="1"/>
  <c r="AL112" i="1"/>
  <c r="AN112" i="1" s="1"/>
  <c r="AJ112" i="1"/>
  <c r="AI112" i="1"/>
  <c r="AH112" i="1"/>
  <c r="AF112" i="1"/>
  <c r="AE112" i="1"/>
  <c r="AD112" i="1"/>
  <c r="AA112" i="1"/>
  <c r="Z112" i="1"/>
  <c r="AB112" i="1" s="1"/>
  <c r="W112" i="1"/>
  <c r="V112" i="1"/>
  <c r="X112" i="1" s="1"/>
  <c r="T112" i="1"/>
  <c r="S112" i="1"/>
  <c r="R112" i="1"/>
  <c r="P112" i="1"/>
  <c r="O112" i="1"/>
  <c r="N112" i="1"/>
  <c r="CD112" i="1" s="1"/>
  <c r="CF112" i="1" s="1"/>
  <c r="K112" i="1"/>
  <c r="E112" i="1"/>
  <c r="CJ111" i="1"/>
  <c r="CH111" i="1"/>
  <c r="CL111" i="1" s="1"/>
  <c r="BD111" i="1"/>
  <c r="BB111" i="1"/>
  <c r="AY111" i="1"/>
  <c r="AX111" i="1"/>
  <c r="AU111" i="1"/>
  <c r="AT111" i="1"/>
  <c r="AV111" i="1" s="1"/>
  <c r="AR111" i="1"/>
  <c r="AQ111" i="1"/>
  <c r="AP111" i="1"/>
  <c r="AM111" i="1"/>
  <c r="AN111" i="1" s="1"/>
  <c r="AL111" i="1"/>
  <c r="AI111" i="1"/>
  <c r="AH111" i="1"/>
  <c r="AE111" i="1"/>
  <c r="AD111" i="1"/>
  <c r="AF111" i="1" s="1"/>
  <c r="AB111" i="1"/>
  <c r="AA111" i="1"/>
  <c r="Z111" i="1"/>
  <c r="W111" i="1"/>
  <c r="X111" i="1" s="1"/>
  <c r="V111" i="1"/>
  <c r="S111" i="1"/>
  <c r="R111" i="1"/>
  <c r="O111" i="1"/>
  <c r="N111" i="1"/>
  <c r="P111" i="1" s="1"/>
  <c r="K111" i="1"/>
  <c r="H111" i="1"/>
  <c r="E111" i="1"/>
  <c r="CL110" i="1"/>
  <c r="CH110" i="1"/>
  <c r="CF110" i="1"/>
  <c r="BB110" i="1"/>
  <c r="BD110" i="1" s="1"/>
  <c r="AZ110" i="1"/>
  <c r="AY110" i="1"/>
  <c r="AX110" i="1"/>
  <c r="AU110" i="1"/>
  <c r="AT110" i="1"/>
  <c r="AQ110" i="1"/>
  <c r="AP110" i="1"/>
  <c r="AN110" i="1"/>
  <c r="AM110" i="1"/>
  <c r="AL110" i="1"/>
  <c r="AI110" i="1"/>
  <c r="AJ110" i="1" s="1"/>
  <c r="AH110" i="1"/>
  <c r="AE110" i="1"/>
  <c r="AD110" i="1"/>
  <c r="AF110" i="1" s="1"/>
  <c r="AA110" i="1"/>
  <c r="Z110" i="1"/>
  <c r="AB110" i="1" s="1"/>
  <c r="W110" i="1"/>
  <c r="V110" i="1"/>
  <c r="X110" i="1" s="1"/>
  <c r="T110" i="1"/>
  <c r="S110" i="1"/>
  <c r="R110" i="1"/>
  <c r="O110" i="1"/>
  <c r="P110" i="1" s="1"/>
  <c r="N110" i="1"/>
  <c r="CD110" i="1" s="1"/>
  <c r="K110" i="1"/>
  <c r="E110" i="1"/>
  <c r="CH109" i="1"/>
  <c r="CL109" i="1" s="1"/>
  <c r="BD109" i="1"/>
  <c r="BB109" i="1"/>
  <c r="AY109" i="1"/>
  <c r="AX109" i="1"/>
  <c r="AZ109" i="1" s="1"/>
  <c r="AU109" i="1"/>
  <c r="AV109" i="1" s="1"/>
  <c r="AT109" i="1"/>
  <c r="AR109" i="1"/>
  <c r="AQ109" i="1"/>
  <c r="AP109" i="1"/>
  <c r="AM109" i="1"/>
  <c r="AL109" i="1"/>
  <c r="AI109" i="1"/>
  <c r="AH109" i="1"/>
  <c r="AJ109" i="1" s="1"/>
  <c r="AE109" i="1"/>
  <c r="AF109" i="1" s="1"/>
  <c r="AD109" i="1"/>
  <c r="AB109" i="1"/>
  <c r="AA109" i="1"/>
  <c r="Z109" i="1"/>
  <c r="W109" i="1"/>
  <c r="V109" i="1"/>
  <c r="X109" i="1" s="1"/>
  <c r="S109" i="1"/>
  <c r="R109" i="1"/>
  <c r="T109" i="1" s="1"/>
  <c r="O109" i="1"/>
  <c r="P109" i="1" s="1"/>
  <c r="N109" i="1"/>
  <c r="CD109" i="1" s="1"/>
  <c r="CF109" i="1" s="1"/>
  <c r="K109" i="1"/>
  <c r="E109" i="1"/>
  <c r="CJ108" i="1"/>
  <c r="CH108" i="1"/>
  <c r="CL108" i="1" s="1"/>
  <c r="CF108" i="1"/>
  <c r="BD108" i="1"/>
  <c r="BB108" i="1"/>
  <c r="AZ108" i="1"/>
  <c r="AY108" i="1"/>
  <c r="AX108" i="1"/>
  <c r="AU108" i="1"/>
  <c r="AT108" i="1"/>
  <c r="AQ108" i="1"/>
  <c r="AP108" i="1"/>
  <c r="AR108" i="1" s="1"/>
  <c r="AN108" i="1"/>
  <c r="AM108" i="1"/>
  <c r="AL108" i="1"/>
  <c r="AJ108" i="1"/>
  <c r="AI108" i="1"/>
  <c r="AH108" i="1"/>
  <c r="AE108" i="1"/>
  <c r="AD108" i="1"/>
  <c r="AA108" i="1"/>
  <c r="Z108" i="1"/>
  <c r="AB108" i="1" s="1"/>
  <c r="X108" i="1"/>
  <c r="W108" i="1"/>
  <c r="V108" i="1"/>
  <c r="T108" i="1"/>
  <c r="S108" i="1"/>
  <c r="R108" i="1"/>
  <c r="O108" i="1"/>
  <c r="N108" i="1"/>
  <c r="CD108" i="1" s="1"/>
  <c r="K108" i="1"/>
  <c r="H108" i="1"/>
  <c r="E108" i="1"/>
  <c r="CH107" i="1"/>
  <c r="CL107" i="1" s="1"/>
  <c r="BD107" i="1"/>
  <c r="BB107" i="1"/>
  <c r="AY107" i="1"/>
  <c r="AX107" i="1"/>
  <c r="AZ107" i="1" s="1"/>
  <c r="AV107" i="1"/>
  <c r="AU107" i="1"/>
  <c r="AT107" i="1"/>
  <c r="AR107" i="1"/>
  <c r="AQ107" i="1"/>
  <c r="AP107" i="1"/>
  <c r="AM107" i="1"/>
  <c r="AL107" i="1"/>
  <c r="AI107" i="1"/>
  <c r="AH107" i="1"/>
  <c r="AJ107" i="1" s="1"/>
  <c r="AF107" i="1"/>
  <c r="AE107" i="1"/>
  <c r="AD107" i="1"/>
  <c r="AB107" i="1"/>
  <c r="AA107" i="1"/>
  <c r="Z107" i="1"/>
  <c r="W107" i="1"/>
  <c r="V107" i="1"/>
  <c r="S107" i="1"/>
  <c r="R107" i="1"/>
  <c r="T107" i="1" s="1"/>
  <c r="P107" i="1"/>
  <c r="O107" i="1"/>
  <c r="N107" i="1"/>
  <c r="CD107" i="1" s="1"/>
  <c r="CF107" i="1" s="1"/>
  <c r="K107" i="1"/>
  <c r="H107" i="1"/>
  <c r="F107" i="1"/>
  <c r="E107" i="1"/>
  <c r="CJ106" i="1"/>
  <c r="CH106" i="1"/>
  <c r="CL106" i="1" s="1"/>
  <c r="CF106" i="1"/>
  <c r="BD106" i="1"/>
  <c r="BB106" i="1"/>
  <c r="AZ106" i="1"/>
  <c r="AY106" i="1"/>
  <c r="AX106" i="1"/>
  <c r="AU106" i="1"/>
  <c r="AT106" i="1"/>
  <c r="AQ106" i="1"/>
  <c r="AP106" i="1"/>
  <c r="AR106" i="1" s="1"/>
  <c r="AN106" i="1"/>
  <c r="AM106" i="1"/>
  <c r="AL106" i="1"/>
  <c r="AJ106" i="1"/>
  <c r="AI106" i="1"/>
  <c r="AH106" i="1"/>
  <c r="AE106" i="1"/>
  <c r="AD106" i="1"/>
  <c r="AA106" i="1"/>
  <c r="Z106" i="1"/>
  <c r="AB106" i="1" s="1"/>
  <c r="X106" i="1"/>
  <c r="W106" i="1"/>
  <c r="V106" i="1"/>
  <c r="T106" i="1"/>
  <c r="S106" i="1"/>
  <c r="R106" i="1"/>
  <c r="O106" i="1"/>
  <c r="N106" i="1"/>
  <c r="CD106" i="1" s="1"/>
  <c r="K106" i="1"/>
  <c r="H106" i="1"/>
  <c r="E106" i="1"/>
  <c r="CH105" i="1"/>
  <c r="CL105" i="1" s="1"/>
  <c r="BD105" i="1"/>
  <c r="BB105" i="1"/>
  <c r="AY105" i="1"/>
  <c r="AX105" i="1"/>
  <c r="AZ105" i="1" s="1"/>
  <c r="AV105" i="1"/>
  <c r="AU105" i="1"/>
  <c r="AT105" i="1"/>
  <c r="AR105" i="1"/>
  <c r="AQ105" i="1"/>
  <c r="AP105" i="1"/>
  <c r="AM105" i="1"/>
  <c r="AL105" i="1"/>
  <c r="AI105" i="1"/>
  <c r="AH105" i="1"/>
  <c r="AJ105" i="1" s="1"/>
  <c r="AF105" i="1"/>
  <c r="AE105" i="1"/>
  <c r="AD105" i="1"/>
  <c r="AB105" i="1"/>
  <c r="AA105" i="1"/>
  <c r="Z105" i="1"/>
  <c r="W105" i="1"/>
  <c r="V105" i="1"/>
  <c r="S105" i="1"/>
  <c r="R105" i="1"/>
  <c r="T105" i="1" s="1"/>
  <c r="P105" i="1"/>
  <c r="O105" i="1"/>
  <c r="N105" i="1"/>
  <c r="CD105" i="1" s="1"/>
  <c r="CF105" i="1" s="1"/>
  <c r="K105" i="1"/>
  <c r="H105" i="1"/>
  <c r="F105" i="1"/>
  <c r="E105" i="1"/>
  <c r="CJ104" i="1"/>
  <c r="CH104" i="1"/>
  <c r="CI104" i="1" s="1"/>
  <c r="CK104" i="1" s="1"/>
  <c r="CF104" i="1"/>
  <c r="CD104" i="1"/>
  <c r="BG104" i="1"/>
  <c r="BB104" i="1"/>
  <c r="BD104" i="1" s="1"/>
  <c r="AZ104" i="1"/>
  <c r="AY104" i="1"/>
  <c r="AX104" i="1"/>
  <c r="AV104" i="1"/>
  <c r="AU104" i="1"/>
  <c r="AT104" i="1"/>
  <c r="AQ104" i="1"/>
  <c r="AP104" i="1"/>
  <c r="AM104" i="1"/>
  <c r="AL104" i="1"/>
  <c r="AN104" i="1" s="1"/>
  <c r="AJ104" i="1"/>
  <c r="AI104" i="1"/>
  <c r="AH104" i="1"/>
  <c r="AF104" i="1"/>
  <c r="AE104" i="1"/>
  <c r="AD104" i="1"/>
  <c r="AA104" i="1"/>
  <c r="Z104" i="1"/>
  <c r="W104" i="1"/>
  <c r="V104" i="1"/>
  <c r="X104" i="1" s="1"/>
  <c r="T104" i="1"/>
  <c r="S104" i="1"/>
  <c r="R104" i="1"/>
  <c r="P104" i="1"/>
  <c r="O104" i="1"/>
  <c r="N104" i="1"/>
  <c r="K104" i="1"/>
  <c r="J104" i="1"/>
  <c r="BZ104" i="1" s="1"/>
  <c r="CB104" i="1" s="1"/>
  <c r="H104" i="1"/>
  <c r="F104" i="1"/>
  <c r="BV104" i="1" s="1"/>
  <c r="BX104" i="1" s="1"/>
  <c r="E104" i="1"/>
  <c r="CJ103" i="1"/>
  <c r="CH103" i="1"/>
  <c r="CL103" i="1" s="1"/>
  <c r="CD103" i="1"/>
  <c r="CF103" i="1" s="1"/>
  <c r="BG103" i="1"/>
  <c r="BD103" i="1"/>
  <c r="BB103" i="1"/>
  <c r="AZ103" i="1"/>
  <c r="AY103" i="1"/>
  <c r="AX103" i="1"/>
  <c r="AU103" i="1"/>
  <c r="AT103" i="1"/>
  <c r="AQ103" i="1"/>
  <c r="AP103" i="1"/>
  <c r="AR103" i="1" s="1"/>
  <c r="AN103" i="1"/>
  <c r="AM103" i="1"/>
  <c r="AL103" i="1"/>
  <c r="AJ103" i="1"/>
  <c r="AI103" i="1"/>
  <c r="AH103" i="1"/>
  <c r="AE103" i="1"/>
  <c r="AD103" i="1"/>
  <c r="AA103" i="1"/>
  <c r="Z103" i="1"/>
  <c r="AB103" i="1" s="1"/>
  <c r="X103" i="1"/>
  <c r="W103" i="1"/>
  <c r="V103" i="1"/>
  <c r="T103" i="1"/>
  <c r="S103" i="1"/>
  <c r="R103" i="1"/>
  <c r="O103" i="1"/>
  <c r="N103" i="1"/>
  <c r="K103" i="1"/>
  <c r="H103" i="1"/>
  <c r="E103" i="1"/>
  <c r="CJ98" i="1"/>
  <c r="CH98" i="1"/>
  <c r="CI98" i="1" s="1"/>
  <c r="CK98" i="1" s="1"/>
  <c r="CD98" i="1"/>
  <c r="CF98" i="1" s="1"/>
  <c r="BV98" i="1"/>
  <c r="BX98" i="1" s="1"/>
  <c r="BN98" i="1"/>
  <c r="BP98" i="1" s="1"/>
  <c r="BG98" i="1"/>
  <c r="BC98" i="1"/>
  <c r="BB98" i="1"/>
  <c r="BD98" i="1" s="1"/>
  <c r="AY98" i="1"/>
  <c r="AX98" i="1"/>
  <c r="AZ98" i="1" s="1"/>
  <c r="AV98" i="1"/>
  <c r="AU98" i="1"/>
  <c r="AT98" i="1"/>
  <c r="AQ98" i="1"/>
  <c r="AR98" i="1" s="1"/>
  <c r="AP98" i="1"/>
  <c r="AM98" i="1"/>
  <c r="AL98" i="1"/>
  <c r="AN98" i="1" s="1"/>
  <c r="AI98" i="1"/>
  <c r="AH98" i="1"/>
  <c r="AJ98" i="1" s="1"/>
  <c r="AF98" i="1"/>
  <c r="AE98" i="1"/>
  <c r="AD98" i="1"/>
  <c r="AA98" i="1"/>
  <c r="AB98" i="1" s="1"/>
  <c r="Z98" i="1"/>
  <c r="W98" i="1"/>
  <c r="V98" i="1"/>
  <c r="X98" i="1" s="1"/>
  <c r="S98" i="1"/>
  <c r="R98" i="1"/>
  <c r="T98" i="1" s="1"/>
  <c r="P98" i="1"/>
  <c r="O98" i="1"/>
  <c r="N98" i="1"/>
  <c r="K98" i="1"/>
  <c r="H98" i="1"/>
  <c r="CM98" i="1" s="1"/>
  <c r="F98" i="1"/>
  <c r="BF98" i="1" s="1"/>
  <c r="E98" i="1"/>
  <c r="CJ97" i="1"/>
  <c r="CH97" i="1"/>
  <c r="BB97" i="1"/>
  <c r="BD97" i="1" s="1"/>
  <c r="AY97" i="1"/>
  <c r="AZ97" i="1" s="1"/>
  <c r="AX97" i="1"/>
  <c r="AU97" i="1"/>
  <c r="AT97" i="1"/>
  <c r="AV97" i="1" s="1"/>
  <c r="AQ97" i="1"/>
  <c r="AP97" i="1"/>
  <c r="AR97" i="1" s="1"/>
  <c r="AN97" i="1"/>
  <c r="AM97" i="1"/>
  <c r="AL97" i="1"/>
  <c r="AI97" i="1"/>
  <c r="AJ97" i="1" s="1"/>
  <c r="AH97" i="1"/>
  <c r="AE97" i="1"/>
  <c r="AD97" i="1"/>
  <c r="AF97" i="1" s="1"/>
  <c r="AA97" i="1"/>
  <c r="Z97" i="1"/>
  <c r="AB97" i="1" s="1"/>
  <c r="X97" i="1"/>
  <c r="W97" i="1"/>
  <c r="V97" i="1"/>
  <c r="S97" i="1"/>
  <c r="T97" i="1" s="1"/>
  <c r="R97" i="1"/>
  <c r="O97" i="1"/>
  <c r="N97" i="1"/>
  <c r="P97" i="1" s="1"/>
  <c r="K97" i="1"/>
  <c r="H97" i="1"/>
  <c r="E97" i="1"/>
  <c r="CL96" i="1"/>
  <c r="CH96" i="1"/>
  <c r="BZ96" i="1"/>
  <c r="CB96" i="1" s="1"/>
  <c r="BB96" i="1"/>
  <c r="BD96" i="1" s="1"/>
  <c r="AY96" i="1"/>
  <c r="AX96" i="1"/>
  <c r="AZ96" i="1" s="1"/>
  <c r="AV96" i="1"/>
  <c r="AU96" i="1"/>
  <c r="AT96" i="1"/>
  <c r="AQ96" i="1"/>
  <c r="AR96" i="1" s="1"/>
  <c r="AP96" i="1"/>
  <c r="AM96" i="1"/>
  <c r="AL96" i="1"/>
  <c r="AN96" i="1" s="1"/>
  <c r="AI96" i="1"/>
  <c r="AH96" i="1"/>
  <c r="AJ96" i="1" s="1"/>
  <c r="AF96" i="1"/>
  <c r="AE96" i="1"/>
  <c r="AD96" i="1"/>
  <c r="AA96" i="1"/>
  <c r="AB96" i="1" s="1"/>
  <c r="Z96" i="1"/>
  <c r="W96" i="1"/>
  <c r="V96" i="1"/>
  <c r="X96" i="1" s="1"/>
  <c r="S96" i="1"/>
  <c r="R96" i="1"/>
  <c r="T96" i="1" s="1"/>
  <c r="P96" i="1"/>
  <c r="O96" i="1"/>
  <c r="N96" i="1"/>
  <c r="CD96" i="1" s="1"/>
  <c r="CF96" i="1" s="1"/>
  <c r="K96" i="1"/>
  <c r="H96" i="1"/>
  <c r="F96" i="1"/>
  <c r="J96" i="1" s="1"/>
  <c r="E96" i="1"/>
  <c r="CJ95" i="1"/>
  <c r="CH95" i="1"/>
  <c r="BB95" i="1"/>
  <c r="BD95" i="1" s="1"/>
  <c r="AY95" i="1"/>
  <c r="AZ95" i="1" s="1"/>
  <c r="AX95" i="1"/>
  <c r="AU95" i="1"/>
  <c r="AT95" i="1"/>
  <c r="AV95" i="1" s="1"/>
  <c r="AQ95" i="1"/>
  <c r="AP95" i="1"/>
  <c r="AR95" i="1" s="1"/>
  <c r="AN95" i="1"/>
  <c r="AM95" i="1"/>
  <c r="AL95" i="1"/>
  <c r="AI95" i="1"/>
  <c r="AJ95" i="1" s="1"/>
  <c r="AH95" i="1"/>
  <c r="AE95" i="1"/>
  <c r="AD95" i="1"/>
  <c r="AF95" i="1" s="1"/>
  <c r="AA95" i="1"/>
  <c r="Z95" i="1"/>
  <c r="AB95" i="1" s="1"/>
  <c r="X95" i="1"/>
  <c r="W95" i="1"/>
  <c r="V95" i="1"/>
  <c r="S95" i="1"/>
  <c r="T95" i="1" s="1"/>
  <c r="R95" i="1"/>
  <c r="O95" i="1"/>
  <c r="N95" i="1"/>
  <c r="P95" i="1" s="1"/>
  <c r="K95" i="1"/>
  <c r="H95" i="1"/>
  <c r="E95" i="1"/>
  <c r="CH94" i="1"/>
  <c r="BR94" i="1"/>
  <c r="BT94" i="1" s="1"/>
  <c r="BJ94" i="1"/>
  <c r="BL94" i="1" s="1"/>
  <c r="BB94" i="1"/>
  <c r="BD94" i="1" s="1"/>
  <c r="AY94" i="1"/>
  <c r="AX94" i="1"/>
  <c r="AZ94" i="1" s="1"/>
  <c r="AV94" i="1"/>
  <c r="AU94" i="1"/>
  <c r="AT94" i="1"/>
  <c r="AQ94" i="1"/>
  <c r="AR94" i="1" s="1"/>
  <c r="AP94" i="1"/>
  <c r="AM94" i="1"/>
  <c r="AL94" i="1"/>
  <c r="AN94" i="1" s="1"/>
  <c r="AI94" i="1"/>
  <c r="AH94" i="1"/>
  <c r="AJ94" i="1" s="1"/>
  <c r="AF94" i="1"/>
  <c r="AE94" i="1"/>
  <c r="AD94" i="1"/>
  <c r="AA94" i="1"/>
  <c r="AB94" i="1" s="1"/>
  <c r="Z94" i="1"/>
  <c r="W94" i="1"/>
  <c r="V94" i="1"/>
  <c r="X94" i="1" s="1"/>
  <c r="S94" i="1"/>
  <c r="R94" i="1"/>
  <c r="T94" i="1" s="1"/>
  <c r="P94" i="1"/>
  <c r="O94" i="1"/>
  <c r="N94" i="1"/>
  <c r="CD94" i="1" s="1"/>
  <c r="CF94" i="1" s="1"/>
  <c r="K94" i="1"/>
  <c r="H94" i="1"/>
  <c r="F94" i="1"/>
  <c r="J94" i="1" s="1"/>
  <c r="L94" i="1" s="1"/>
  <c r="E94" i="1"/>
  <c r="CJ93" i="1"/>
  <c r="CH93" i="1"/>
  <c r="CD93" i="1"/>
  <c r="CF93" i="1" s="1"/>
  <c r="BB93" i="1"/>
  <c r="BD93" i="1" s="1"/>
  <c r="AY93" i="1"/>
  <c r="AZ93" i="1" s="1"/>
  <c r="AX93" i="1"/>
  <c r="AU93" i="1"/>
  <c r="AT93" i="1"/>
  <c r="AV93" i="1" s="1"/>
  <c r="AQ93" i="1"/>
  <c r="AP93" i="1"/>
  <c r="AR93" i="1" s="1"/>
  <c r="AN93" i="1"/>
  <c r="AM93" i="1"/>
  <c r="AL93" i="1"/>
  <c r="AI93" i="1"/>
  <c r="AJ93" i="1" s="1"/>
  <c r="AH93" i="1"/>
  <c r="AE93" i="1"/>
  <c r="AD93" i="1"/>
  <c r="AF93" i="1" s="1"/>
  <c r="AA93" i="1"/>
  <c r="Z93" i="1"/>
  <c r="AB93" i="1" s="1"/>
  <c r="X93" i="1"/>
  <c r="W93" i="1"/>
  <c r="V93" i="1"/>
  <c r="S93" i="1"/>
  <c r="T93" i="1" s="1"/>
  <c r="R93" i="1"/>
  <c r="O93" i="1"/>
  <c r="N93" i="1"/>
  <c r="P93" i="1" s="1"/>
  <c r="K93" i="1"/>
  <c r="H93" i="1"/>
  <c r="E93" i="1"/>
  <c r="CL92" i="1"/>
  <c r="CH92" i="1"/>
  <c r="BB92" i="1"/>
  <c r="BD92" i="1" s="1"/>
  <c r="AY92" i="1"/>
  <c r="AX92" i="1"/>
  <c r="AZ92" i="1" s="1"/>
  <c r="AV92" i="1"/>
  <c r="AU92" i="1"/>
  <c r="AT92" i="1"/>
  <c r="AQ92" i="1"/>
  <c r="AR92" i="1" s="1"/>
  <c r="AP92" i="1"/>
  <c r="AM92" i="1"/>
  <c r="AL92" i="1"/>
  <c r="AN92" i="1" s="1"/>
  <c r="AI92" i="1"/>
  <c r="AH92" i="1"/>
  <c r="AJ92" i="1" s="1"/>
  <c r="AF92" i="1"/>
  <c r="AE92" i="1"/>
  <c r="AD92" i="1"/>
  <c r="AA92" i="1"/>
  <c r="AB92" i="1" s="1"/>
  <c r="Z92" i="1"/>
  <c r="W92" i="1"/>
  <c r="V92" i="1"/>
  <c r="X92" i="1" s="1"/>
  <c r="S92" i="1"/>
  <c r="R92" i="1"/>
  <c r="T92" i="1" s="1"/>
  <c r="P92" i="1"/>
  <c r="O92" i="1"/>
  <c r="N92" i="1"/>
  <c r="CD92" i="1" s="1"/>
  <c r="CF92" i="1" s="1"/>
  <c r="K92" i="1"/>
  <c r="H92" i="1"/>
  <c r="F92" i="1"/>
  <c r="E92" i="1"/>
  <c r="CJ91" i="1"/>
  <c r="CH91" i="1"/>
  <c r="BB91" i="1"/>
  <c r="BD91" i="1" s="1"/>
  <c r="AZ91" i="1"/>
  <c r="AY91" i="1"/>
  <c r="AX91" i="1"/>
  <c r="AU91" i="1"/>
  <c r="AT91" i="1"/>
  <c r="AV91" i="1" s="1"/>
  <c r="AQ91" i="1"/>
  <c r="AP91" i="1"/>
  <c r="AR91" i="1" s="1"/>
  <c r="AN91" i="1"/>
  <c r="AM91" i="1"/>
  <c r="AL91" i="1"/>
  <c r="AJ91" i="1"/>
  <c r="AI91" i="1"/>
  <c r="AH91" i="1"/>
  <c r="AE91" i="1"/>
  <c r="AD91" i="1"/>
  <c r="AF91" i="1" s="1"/>
  <c r="AA91" i="1"/>
  <c r="Z91" i="1"/>
  <c r="AB91" i="1" s="1"/>
  <c r="X91" i="1"/>
  <c r="W91" i="1"/>
  <c r="V91" i="1"/>
  <c r="T91" i="1"/>
  <c r="S91" i="1"/>
  <c r="R91" i="1"/>
  <c r="O91" i="1"/>
  <c r="N91" i="1"/>
  <c r="P91" i="1" s="1"/>
  <c r="K91" i="1"/>
  <c r="H91" i="1"/>
  <c r="E91" i="1"/>
  <c r="CH90" i="1"/>
  <c r="CJ90" i="1" s="1"/>
  <c r="BB90" i="1"/>
  <c r="BD90" i="1" s="1"/>
  <c r="AY90" i="1"/>
  <c r="AX90" i="1"/>
  <c r="AZ90" i="1" s="1"/>
  <c r="AV90" i="1"/>
  <c r="AU90" i="1"/>
  <c r="AT90" i="1"/>
  <c r="AR90" i="1"/>
  <c r="AQ90" i="1"/>
  <c r="AP90" i="1"/>
  <c r="AM90" i="1"/>
  <c r="AL90" i="1"/>
  <c r="AN90" i="1" s="1"/>
  <c r="AI90" i="1"/>
  <c r="AH90" i="1"/>
  <c r="AJ90" i="1" s="1"/>
  <c r="AF90" i="1"/>
  <c r="AE90" i="1"/>
  <c r="AD90" i="1"/>
  <c r="AB90" i="1"/>
  <c r="AA90" i="1"/>
  <c r="Z90" i="1"/>
  <c r="W90" i="1"/>
  <c r="V90" i="1"/>
  <c r="X90" i="1" s="1"/>
  <c r="S90" i="1"/>
  <c r="R90" i="1"/>
  <c r="P90" i="1"/>
  <c r="O90" i="1"/>
  <c r="N90" i="1"/>
  <c r="CD90" i="1" s="1"/>
  <c r="CF90" i="1" s="1"/>
  <c r="K90" i="1"/>
  <c r="H90" i="1"/>
  <c r="E90" i="1"/>
  <c r="CJ89" i="1"/>
  <c r="CH89" i="1"/>
  <c r="BB89" i="1"/>
  <c r="BD89" i="1" s="1"/>
  <c r="AY89" i="1"/>
  <c r="AX89" i="1"/>
  <c r="AZ89" i="1" s="1"/>
  <c r="AU89" i="1"/>
  <c r="AT89" i="1"/>
  <c r="AV89" i="1" s="1"/>
  <c r="AQ89" i="1"/>
  <c r="AR89" i="1" s="1"/>
  <c r="AP89" i="1"/>
  <c r="AN89" i="1"/>
  <c r="AM89" i="1"/>
  <c r="AL89" i="1"/>
  <c r="AI89" i="1"/>
  <c r="AH89" i="1"/>
  <c r="AJ89" i="1" s="1"/>
  <c r="AE89" i="1"/>
  <c r="AD89" i="1"/>
  <c r="AF89" i="1" s="1"/>
  <c r="AA89" i="1"/>
  <c r="AB89" i="1" s="1"/>
  <c r="Z89" i="1"/>
  <c r="X89" i="1"/>
  <c r="W89" i="1"/>
  <c r="V89" i="1"/>
  <c r="S89" i="1"/>
  <c r="R89" i="1"/>
  <c r="T89" i="1" s="1"/>
  <c r="O89" i="1"/>
  <c r="N89" i="1"/>
  <c r="P89" i="1" s="1"/>
  <c r="K89" i="1"/>
  <c r="H89" i="1"/>
  <c r="E89" i="1"/>
  <c r="CH88" i="1"/>
  <c r="CL88" i="1" s="1"/>
  <c r="BB88" i="1"/>
  <c r="BD88" i="1" s="1"/>
  <c r="AY88" i="1"/>
  <c r="AZ88" i="1" s="1"/>
  <c r="AX88" i="1"/>
  <c r="AV88" i="1"/>
  <c r="AU88" i="1"/>
  <c r="AT88" i="1"/>
  <c r="AQ88" i="1"/>
  <c r="AP88" i="1"/>
  <c r="AR88" i="1" s="1"/>
  <c r="AM88" i="1"/>
  <c r="AL88" i="1"/>
  <c r="AN88" i="1" s="1"/>
  <c r="AI88" i="1"/>
  <c r="AJ88" i="1" s="1"/>
  <c r="AH88" i="1"/>
  <c r="AF88" i="1"/>
  <c r="AE88" i="1"/>
  <c r="AD88" i="1"/>
  <c r="AA88" i="1"/>
  <c r="Z88" i="1"/>
  <c r="AB88" i="1" s="1"/>
  <c r="W88" i="1"/>
  <c r="V88" i="1"/>
  <c r="X88" i="1" s="1"/>
  <c r="S88" i="1"/>
  <c r="T88" i="1" s="1"/>
  <c r="R88" i="1"/>
  <c r="P88" i="1"/>
  <c r="O88" i="1"/>
  <c r="N88" i="1"/>
  <c r="CD88" i="1" s="1"/>
  <c r="CF88" i="1" s="1"/>
  <c r="K88" i="1"/>
  <c r="H88" i="1"/>
  <c r="E88" i="1"/>
  <c r="CJ87" i="1"/>
  <c r="CH87" i="1"/>
  <c r="BB87" i="1"/>
  <c r="BD87" i="1" s="1"/>
  <c r="AY87" i="1"/>
  <c r="AX87" i="1"/>
  <c r="AZ87" i="1" s="1"/>
  <c r="AU87" i="1"/>
  <c r="AT87" i="1"/>
  <c r="AV87" i="1" s="1"/>
  <c r="AQ87" i="1"/>
  <c r="AR87" i="1" s="1"/>
  <c r="AP87" i="1"/>
  <c r="AN87" i="1"/>
  <c r="AM87" i="1"/>
  <c r="AL87" i="1"/>
  <c r="AI87" i="1"/>
  <c r="AH87" i="1"/>
  <c r="AJ87" i="1" s="1"/>
  <c r="AE87" i="1"/>
  <c r="AD87" i="1"/>
  <c r="AF87" i="1" s="1"/>
  <c r="AA87" i="1"/>
  <c r="AB87" i="1" s="1"/>
  <c r="Z87" i="1"/>
  <c r="X87" i="1"/>
  <c r="W87" i="1"/>
  <c r="V87" i="1"/>
  <c r="S87" i="1"/>
  <c r="R87" i="1"/>
  <c r="T87" i="1" s="1"/>
  <c r="O87" i="1"/>
  <c r="N87" i="1"/>
  <c r="K87" i="1"/>
  <c r="H87" i="1"/>
  <c r="E87" i="1"/>
  <c r="CH86" i="1"/>
  <c r="BB86" i="1"/>
  <c r="BD86" i="1" s="1"/>
  <c r="AY86" i="1"/>
  <c r="AZ86" i="1" s="1"/>
  <c r="AX86" i="1"/>
  <c r="AV86" i="1"/>
  <c r="AU86" i="1"/>
  <c r="AT86" i="1"/>
  <c r="AQ86" i="1"/>
  <c r="AP86" i="1"/>
  <c r="AR86" i="1" s="1"/>
  <c r="AM86" i="1"/>
  <c r="AL86" i="1"/>
  <c r="AN86" i="1" s="1"/>
  <c r="AI86" i="1"/>
  <c r="AJ86" i="1" s="1"/>
  <c r="AH86" i="1"/>
  <c r="AF86" i="1"/>
  <c r="AE86" i="1"/>
  <c r="AD86" i="1"/>
  <c r="AA86" i="1"/>
  <c r="Z86" i="1"/>
  <c r="AB86" i="1" s="1"/>
  <c r="W86" i="1"/>
  <c r="V86" i="1"/>
  <c r="X86" i="1" s="1"/>
  <c r="S86" i="1"/>
  <c r="T86" i="1" s="1"/>
  <c r="R86" i="1"/>
  <c r="P86" i="1"/>
  <c r="O86" i="1"/>
  <c r="N86" i="1"/>
  <c r="CD86" i="1" s="1"/>
  <c r="CF86" i="1" s="1"/>
  <c r="K86" i="1"/>
  <c r="H86" i="1"/>
  <c r="E86" i="1"/>
  <c r="CJ85" i="1"/>
  <c r="CH85" i="1"/>
  <c r="CD85" i="1"/>
  <c r="CF85" i="1" s="1"/>
  <c r="BB85" i="1"/>
  <c r="BD85" i="1" s="1"/>
  <c r="AY85" i="1"/>
  <c r="AX85" i="1"/>
  <c r="AZ85" i="1" s="1"/>
  <c r="AU85" i="1"/>
  <c r="AT85" i="1"/>
  <c r="AV85" i="1" s="1"/>
  <c r="AQ85" i="1"/>
  <c r="AR85" i="1" s="1"/>
  <c r="AP85" i="1"/>
  <c r="AN85" i="1"/>
  <c r="AM85" i="1"/>
  <c r="AL85" i="1"/>
  <c r="AI85" i="1"/>
  <c r="AH85" i="1"/>
  <c r="AJ85" i="1" s="1"/>
  <c r="AE85" i="1"/>
  <c r="AD85" i="1"/>
  <c r="AF85" i="1" s="1"/>
  <c r="AA85" i="1"/>
  <c r="AB85" i="1" s="1"/>
  <c r="Z85" i="1"/>
  <c r="X85" i="1"/>
  <c r="W85" i="1"/>
  <c r="V85" i="1"/>
  <c r="S85" i="1"/>
  <c r="R85" i="1"/>
  <c r="T85" i="1" s="1"/>
  <c r="O85" i="1"/>
  <c r="N85" i="1"/>
  <c r="P85" i="1" s="1"/>
  <c r="K85" i="1"/>
  <c r="H85" i="1"/>
  <c r="E85" i="1"/>
  <c r="CH84" i="1"/>
  <c r="BG84" i="1"/>
  <c r="BD84" i="1"/>
  <c r="BB84" i="1"/>
  <c r="AY84" i="1"/>
  <c r="AX84" i="1"/>
  <c r="AZ84" i="1" s="1"/>
  <c r="AU84" i="1"/>
  <c r="AV84" i="1" s="1"/>
  <c r="AT84" i="1"/>
  <c r="AR84" i="1"/>
  <c r="AQ84" i="1"/>
  <c r="AP84" i="1"/>
  <c r="AM84" i="1"/>
  <c r="AL84" i="1"/>
  <c r="AN84" i="1" s="1"/>
  <c r="AI84" i="1"/>
  <c r="AH84" i="1"/>
  <c r="AJ84" i="1" s="1"/>
  <c r="AE84" i="1"/>
  <c r="AF84" i="1" s="1"/>
  <c r="AD84" i="1"/>
  <c r="AB84" i="1"/>
  <c r="AA84" i="1"/>
  <c r="Z84" i="1"/>
  <c r="W84" i="1"/>
  <c r="V84" i="1"/>
  <c r="X84" i="1" s="1"/>
  <c r="S84" i="1"/>
  <c r="R84" i="1"/>
  <c r="T84" i="1" s="1"/>
  <c r="O84" i="1"/>
  <c r="P84" i="1" s="1"/>
  <c r="N84" i="1"/>
  <c r="CD84" i="1" s="1"/>
  <c r="CF84" i="1" s="1"/>
  <c r="K84" i="1"/>
  <c r="H84" i="1"/>
  <c r="F84" i="1"/>
  <c r="E84" i="1"/>
  <c r="CJ83" i="1"/>
  <c r="CH83" i="1"/>
  <c r="CL83" i="1" s="1"/>
  <c r="BG83" i="1"/>
  <c r="BB83" i="1"/>
  <c r="BD83" i="1" s="1"/>
  <c r="AY83" i="1"/>
  <c r="AZ83" i="1" s="1"/>
  <c r="AX83" i="1"/>
  <c r="AV83" i="1"/>
  <c r="AU83" i="1"/>
  <c r="AT83" i="1"/>
  <c r="AQ83" i="1"/>
  <c r="AP83" i="1"/>
  <c r="AR83" i="1" s="1"/>
  <c r="AM83" i="1"/>
  <c r="AL83" i="1"/>
  <c r="AN83" i="1" s="1"/>
  <c r="AI83" i="1"/>
  <c r="AJ83" i="1" s="1"/>
  <c r="AH83" i="1"/>
  <c r="AF83" i="1"/>
  <c r="AE83" i="1"/>
  <c r="AD83" i="1"/>
  <c r="AA83" i="1"/>
  <c r="Z83" i="1"/>
  <c r="W83" i="1"/>
  <c r="V83" i="1"/>
  <c r="X83" i="1" s="1"/>
  <c r="S83" i="1"/>
  <c r="T83" i="1" s="1"/>
  <c r="R83" i="1"/>
  <c r="P83" i="1"/>
  <c r="O83" i="1"/>
  <c r="N83" i="1"/>
  <c r="CD83" i="1" s="1"/>
  <c r="CF83" i="1" s="1"/>
  <c r="K83" i="1"/>
  <c r="H83" i="1"/>
  <c r="E83" i="1"/>
  <c r="CJ71" i="1"/>
  <c r="CH71" i="1"/>
  <c r="AY71" i="1"/>
  <c r="AU71" i="1"/>
  <c r="AQ71" i="1"/>
  <c r="AM71" i="1"/>
  <c r="AI71" i="1"/>
  <c r="AE71" i="1"/>
  <c r="AA71" i="1"/>
  <c r="W71" i="1"/>
  <c r="S71" i="1"/>
  <c r="O71" i="1"/>
  <c r="K71" i="1"/>
  <c r="E71" i="1"/>
  <c r="H44" i="1"/>
  <c r="CH48" i="1"/>
  <c r="CJ48" i="1" s="1"/>
  <c r="BG48" i="1"/>
  <c r="BC48" i="1"/>
  <c r="AY48" i="1"/>
  <c r="AU48" i="1"/>
  <c r="AQ48" i="1"/>
  <c r="AM48" i="1"/>
  <c r="AI48" i="1"/>
  <c r="AE48" i="1"/>
  <c r="AA48" i="1"/>
  <c r="W48" i="1"/>
  <c r="S48" i="1"/>
  <c r="O48" i="1"/>
  <c r="K48" i="1"/>
  <c r="E48" i="1"/>
  <c r="E46" i="1"/>
  <c r="K46" i="1"/>
  <c r="O46" i="1"/>
  <c r="S46" i="1"/>
  <c r="W46" i="1"/>
  <c r="AA46" i="1"/>
  <c r="AE46" i="1"/>
  <c r="AI46" i="1"/>
  <c r="AM46" i="1"/>
  <c r="AQ46" i="1"/>
  <c r="AU46" i="1"/>
  <c r="AY46" i="1"/>
  <c r="BC46" i="1"/>
  <c r="BG46" i="1"/>
  <c r="CH46" i="1"/>
  <c r="CJ46" i="1" s="1"/>
  <c r="K25" i="1"/>
  <c r="O25" i="1"/>
  <c r="S25" i="1"/>
  <c r="W25" i="1"/>
  <c r="AA25" i="1"/>
  <c r="AE25" i="1"/>
  <c r="AI25" i="1"/>
  <c r="AM25" i="1"/>
  <c r="AQ25" i="1"/>
  <c r="AU25" i="1"/>
  <c r="AY25" i="1"/>
  <c r="BC25" i="1"/>
  <c r="BG25" i="1"/>
  <c r="CH25" i="1"/>
  <c r="CJ25" i="1" s="1"/>
  <c r="E25" i="1"/>
  <c r="E33" i="1"/>
  <c r="K33" i="1"/>
  <c r="O33" i="1"/>
  <c r="S33" i="1"/>
  <c r="W33" i="1"/>
  <c r="AA33" i="1"/>
  <c r="AE33" i="1"/>
  <c r="AI33" i="1"/>
  <c r="AM33" i="1"/>
  <c r="AQ33" i="1"/>
  <c r="AU33" i="1"/>
  <c r="AY33" i="1"/>
  <c r="BC33" i="1"/>
  <c r="BG33" i="1"/>
  <c r="CH33" i="1"/>
  <c r="CJ33" i="1" s="1"/>
  <c r="E31" i="1"/>
  <c r="K31" i="1"/>
  <c r="O31" i="1"/>
  <c r="S31" i="1"/>
  <c r="W31" i="1"/>
  <c r="AA31" i="1"/>
  <c r="AE31" i="1"/>
  <c r="AI31" i="1"/>
  <c r="AM31" i="1"/>
  <c r="AQ31" i="1"/>
  <c r="AU31" i="1"/>
  <c r="AY31" i="1"/>
  <c r="BC31" i="1"/>
  <c r="BG31" i="1"/>
  <c r="CH31" i="1"/>
  <c r="CJ31" i="1" s="1"/>
  <c r="E17" i="1"/>
  <c r="K17" i="1"/>
  <c r="O17" i="1"/>
  <c r="S17" i="1"/>
  <c r="W17" i="1"/>
  <c r="AA17" i="1"/>
  <c r="AE17" i="1"/>
  <c r="AI17" i="1"/>
  <c r="AM17" i="1"/>
  <c r="AQ17" i="1"/>
  <c r="AU17" i="1"/>
  <c r="AY17" i="1"/>
  <c r="BC17" i="1"/>
  <c r="BG17" i="1"/>
  <c r="CH17" i="1"/>
  <c r="CJ17" i="1" s="1"/>
  <c r="E15" i="1"/>
  <c r="K15" i="1"/>
  <c r="O15" i="1"/>
  <c r="S15" i="1"/>
  <c r="W15" i="1"/>
  <c r="AA15" i="1"/>
  <c r="AE15" i="1"/>
  <c r="AI15" i="1"/>
  <c r="AM15" i="1"/>
  <c r="AQ15" i="1"/>
  <c r="AU15" i="1"/>
  <c r="AY15" i="1"/>
  <c r="BC15" i="1"/>
  <c r="BG15" i="1"/>
  <c r="CH15" i="1"/>
  <c r="CJ15" i="1" s="1"/>
  <c r="CH119" i="1"/>
  <c r="CH120" i="1"/>
  <c r="CH64" i="1"/>
  <c r="CH65" i="1"/>
  <c r="CH66" i="1"/>
  <c r="CH67" i="1"/>
  <c r="CH68" i="1"/>
  <c r="CH69" i="1"/>
  <c r="CH70" i="1"/>
  <c r="CH72" i="1"/>
  <c r="CH73" i="1"/>
  <c r="CH74" i="1"/>
  <c r="CH75" i="1"/>
  <c r="CH76" i="1"/>
  <c r="CJ76" i="1" s="1"/>
  <c r="CH77" i="1"/>
  <c r="CJ77" i="1" s="1"/>
  <c r="CH78" i="1"/>
  <c r="CH63" i="1"/>
  <c r="CH45" i="1"/>
  <c r="CH47" i="1"/>
  <c r="CH49" i="1"/>
  <c r="CH50" i="1"/>
  <c r="CH51" i="1"/>
  <c r="CH52" i="1"/>
  <c r="CH53" i="1"/>
  <c r="CH54" i="1"/>
  <c r="CH55" i="1"/>
  <c r="CH56" i="1"/>
  <c r="CH57" i="1"/>
  <c r="CH44" i="1"/>
  <c r="CH30" i="1"/>
  <c r="CH16" i="1"/>
  <c r="CH18" i="1"/>
  <c r="CH19" i="1"/>
  <c r="CH20" i="1"/>
  <c r="CH21" i="1"/>
  <c r="CH22" i="1"/>
  <c r="CH23" i="1"/>
  <c r="CH24" i="1"/>
  <c r="CL24" i="1" s="1"/>
  <c r="CH14" i="1"/>
  <c r="CH100" i="1"/>
  <c r="CI100" i="1" s="1"/>
  <c r="AY76" i="1"/>
  <c r="AU76" i="1"/>
  <c r="AQ76" i="1"/>
  <c r="AM76" i="1"/>
  <c r="AI76" i="1"/>
  <c r="AE76" i="1"/>
  <c r="AA76" i="1"/>
  <c r="W76" i="1"/>
  <c r="S76" i="1"/>
  <c r="O76" i="1"/>
  <c r="K76" i="1"/>
  <c r="E76" i="1"/>
  <c r="AY77" i="1"/>
  <c r="AU77" i="1"/>
  <c r="AQ77" i="1"/>
  <c r="AM77" i="1"/>
  <c r="AI77" i="1"/>
  <c r="AE77" i="1"/>
  <c r="AA77" i="1"/>
  <c r="W77" i="1"/>
  <c r="S77" i="1"/>
  <c r="O77" i="1"/>
  <c r="K77" i="1"/>
  <c r="E77" i="1"/>
  <c r="E64" i="1"/>
  <c r="E65" i="1"/>
  <c r="E66" i="1"/>
  <c r="E67" i="1"/>
  <c r="E68" i="1"/>
  <c r="E69" i="1"/>
  <c r="E70" i="1"/>
  <c r="E72" i="1"/>
  <c r="E73" i="1"/>
  <c r="E74" i="1"/>
  <c r="E75" i="1"/>
  <c r="E78" i="1"/>
  <c r="E63" i="1"/>
  <c r="H29" i="1"/>
  <c r="H13" i="1"/>
  <c r="H23" i="1" s="1"/>
  <c r="H49" i="1"/>
  <c r="E24" i="1"/>
  <c r="E23" i="1"/>
  <c r="E22" i="1"/>
  <c r="E21" i="1"/>
  <c r="E20" i="1"/>
  <c r="E19" i="1"/>
  <c r="E18" i="1"/>
  <c r="E16" i="1"/>
  <c r="E14" i="1"/>
  <c r="E40" i="1"/>
  <c r="E39" i="1"/>
  <c r="E38" i="1"/>
  <c r="E37" i="1"/>
  <c r="E36" i="1"/>
  <c r="E35" i="1"/>
  <c r="E34" i="1"/>
  <c r="E32" i="1"/>
  <c r="E30" i="1"/>
  <c r="E56" i="1"/>
  <c r="E55" i="1"/>
  <c r="E54" i="1"/>
  <c r="E53" i="1"/>
  <c r="E52" i="1"/>
  <c r="H102" i="1"/>
  <c r="H82" i="1"/>
  <c r="H62" i="1"/>
  <c r="H70" i="1" s="1"/>
  <c r="K19" i="1"/>
  <c r="CM104" i="1" l="1"/>
  <c r="BR105" i="1"/>
  <c r="BT105" i="1" s="1"/>
  <c r="BJ105" i="1"/>
  <c r="BL105" i="1" s="1"/>
  <c r="J105" i="1"/>
  <c r="BV105" i="1"/>
  <c r="BX105" i="1" s="1"/>
  <c r="BN105" i="1"/>
  <c r="BP105" i="1" s="1"/>
  <c r="BF105" i="1"/>
  <c r="BH105" i="1" s="1"/>
  <c r="BR109" i="1"/>
  <c r="BT109" i="1" s="1"/>
  <c r="BJ109" i="1"/>
  <c r="BL109" i="1" s="1"/>
  <c r="J109" i="1"/>
  <c r="BV109" i="1"/>
  <c r="BX109" i="1" s="1"/>
  <c r="BN109" i="1"/>
  <c r="BP109" i="1" s="1"/>
  <c r="BF109" i="1"/>
  <c r="BH109" i="1" s="1"/>
  <c r="P103" i="1"/>
  <c r="AV103" i="1"/>
  <c r="AR104" i="1"/>
  <c r="X105" i="1"/>
  <c r="AV106" i="1"/>
  <c r="X107" i="1"/>
  <c r="AV108" i="1"/>
  <c r="AN109" i="1"/>
  <c r="CJ112" i="1"/>
  <c r="CL112" i="1"/>
  <c r="CD113" i="1"/>
  <c r="CF113" i="1" s="1"/>
  <c r="BR107" i="1"/>
  <c r="BT107" i="1" s="1"/>
  <c r="BJ107" i="1"/>
  <c r="BL107" i="1" s="1"/>
  <c r="J107" i="1"/>
  <c r="BV107" i="1"/>
  <c r="BX107" i="1" s="1"/>
  <c r="BN107" i="1"/>
  <c r="BP107" i="1" s="1"/>
  <c r="BF107" i="1"/>
  <c r="BH107" i="1" s="1"/>
  <c r="CI109" i="1"/>
  <c r="F115" i="1"/>
  <c r="AF103" i="1"/>
  <c r="AB104" i="1"/>
  <c r="AN105" i="1"/>
  <c r="CI105" i="1"/>
  <c r="AF106" i="1"/>
  <c r="AN107" i="1"/>
  <c r="CI107" i="1"/>
  <c r="AF108" i="1"/>
  <c r="AV110" i="1"/>
  <c r="BR113" i="1"/>
  <c r="BT113" i="1" s="1"/>
  <c r="BJ113" i="1"/>
  <c r="BL113" i="1" s="1"/>
  <c r="J113" i="1"/>
  <c r="CI113" i="1"/>
  <c r="CK113" i="1" s="1"/>
  <c r="CM113" i="1" s="1"/>
  <c r="BV113" i="1"/>
  <c r="BX113" i="1" s="1"/>
  <c r="BF113" i="1"/>
  <c r="BH113" i="1" s="1"/>
  <c r="L104" i="1"/>
  <c r="BJ104" i="1"/>
  <c r="BL104" i="1" s="1"/>
  <c r="BR104" i="1"/>
  <c r="BT104" i="1" s="1"/>
  <c r="CL104" i="1"/>
  <c r="CJ105" i="1"/>
  <c r="P106" i="1"/>
  <c r="CJ107" i="1"/>
  <c r="P108" i="1"/>
  <c r="CJ109" i="1"/>
  <c r="AR110" i="1"/>
  <c r="CJ110" i="1"/>
  <c r="F111" i="1"/>
  <c r="AJ111" i="1"/>
  <c r="CD111" i="1"/>
  <c r="CF111" i="1" s="1"/>
  <c r="AB114" i="1"/>
  <c r="T115" i="1"/>
  <c r="AZ115" i="1"/>
  <c r="F117" i="1"/>
  <c r="T117" i="1"/>
  <c r="AZ117" i="1"/>
  <c r="CI118" i="1"/>
  <c r="CK118" i="1" s="1"/>
  <c r="CM118" i="1" s="1"/>
  <c r="BF118" i="1"/>
  <c r="J118" i="1"/>
  <c r="BR118" i="1"/>
  <c r="BT118" i="1" s="1"/>
  <c r="BJ118" i="1"/>
  <c r="BL118" i="1" s="1"/>
  <c r="F103" i="1"/>
  <c r="BF104" i="1"/>
  <c r="BH104" i="1" s="1"/>
  <c r="F106" i="1"/>
  <c r="F108" i="1"/>
  <c r="F110" i="1"/>
  <c r="T113" i="1"/>
  <c r="AZ113" i="1"/>
  <c r="AR116" i="1"/>
  <c r="CJ116" i="1"/>
  <c r="BH118" i="1"/>
  <c r="BN104" i="1"/>
  <c r="BP104" i="1" s="1"/>
  <c r="T111" i="1"/>
  <c r="AZ111" i="1"/>
  <c r="AR114" i="1"/>
  <c r="CJ114" i="1"/>
  <c r="AJ115" i="1"/>
  <c r="CD115" i="1"/>
  <c r="CF115" i="1" s="1"/>
  <c r="AJ117" i="1"/>
  <c r="BN118" i="1"/>
  <c r="BP118" i="1" s="1"/>
  <c r="F112" i="1"/>
  <c r="CI112" i="1" s="1"/>
  <c r="CK112" i="1" s="1"/>
  <c r="CM112" i="1" s="1"/>
  <c r="F114" i="1"/>
  <c r="F116" i="1"/>
  <c r="CI116" i="1" s="1"/>
  <c r="CK116" i="1" s="1"/>
  <c r="CM116" i="1" s="1"/>
  <c r="BJ96" i="1"/>
  <c r="BL96" i="1" s="1"/>
  <c r="BR96" i="1"/>
  <c r="BT96" i="1" s="1"/>
  <c r="F87" i="1"/>
  <c r="BV84" i="1"/>
  <c r="BX84" i="1" s="1"/>
  <c r="BN84" i="1"/>
  <c r="BP84" i="1" s="1"/>
  <c r="J84" i="1"/>
  <c r="BF84" i="1"/>
  <c r="BH84" i="1"/>
  <c r="CJ84" i="1"/>
  <c r="CI84" i="1"/>
  <c r="CK84" i="1" s="1"/>
  <c r="CM84" i="1" s="1"/>
  <c r="CJ86" i="1"/>
  <c r="CI87" i="1"/>
  <c r="CK87" i="1" s="1"/>
  <c r="CM87" i="1" s="1"/>
  <c r="BJ84" i="1"/>
  <c r="BL84" i="1" s="1"/>
  <c r="CL84" i="1"/>
  <c r="CL86" i="1"/>
  <c r="CD87" i="1"/>
  <c r="CF87" i="1" s="1"/>
  <c r="P87" i="1"/>
  <c r="AB83" i="1"/>
  <c r="BR84" i="1"/>
  <c r="BT84" i="1" s="1"/>
  <c r="F85" i="1"/>
  <c r="CM93" i="1"/>
  <c r="F93" i="1"/>
  <c r="F83" i="1"/>
  <c r="F86" i="1"/>
  <c r="CI86" i="1" s="1"/>
  <c r="CK86" i="1" s="1"/>
  <c r="CM86" i="1" s="1"/>
  <c r="F88" i="1"/>
  <c r="CI88" i="1" s="1"/>
  <c r="CK88" i="1" s="1"/>
  <c r="CM88" i="1" s="1"/>
  <c r="F90" i="1"/>
  <c r="T90" i="1"/>
  <c r="CI90" i="1"/>
  <c r="CK90" i="1" s="1"/>
  <c r="CM90" i="1" s="1"/>
  <c r="F91" i="1"/>
  <c r="CJ92" i="1"/>
  <c r="CI92" i="1"/>
  <c r="CK92" i="1" s="1"/>
  <c r="CM92" i="1" s="1"/>
  <c r="CI93" i="1"/>
  <c r="CK93" i="1" s="1"/>
  <c r="BZ94" i="1"/>
  <c r="CB94" i="1" s="1"/>
  <c r="F95" i="1"/>
  <c r="CI95" i="1" s="1"/>
  <c r="CK95" i="1" s="1"/>
  <c r="CM95" i="1" s="1"/>
  <c r="CD95" i="1"/>
  <c r="CF95" i="1" s="1"/>
  <c r="L96" i="1"/>
  <c r="CD89" i="1"/>
  <c r="CF89" i="1" s="1"/>
  <c r="CL85" i="1"/>
  <c r="CL87" i="1"/>
  <c r="CJ88" i="1"/>
  <c r="CL89" i="1"/>
  <c r="CL90" i="1"/>
  <c r="J92" i="1"/>
  <c r="BV92" i="1"/>
  <c r="BX92" i="1" s="1"/>
  <c r="BN92" i="1"/>
  <c r="BP92" i="1" s="1"/>
  <c r="BF92" i="1"/>
  <c r="BH92" i="1" s="1"/>
  <c r="BJ92" i="1"/>
  <c r="BL92" i="1" s="1"/>
  <c r="CJ94" i="1"/>
  <c r="CI94" i="1"/>
  <c r="CK94" i="1" s="1"/>
  <c r="CM94" i="1" s="1"/>
  <c r="F97" i="1"/>
  <c r="CD97" i="1"/>
  <c r="CF97" i="1" s="1"/>
  <c r="BH98" i="1"/>
  <c r="CD91" i="1"/>
  <c r="CF91" i="1" s="1"/>
  <c r="F89" i="1"/>
  <c r="BR92" i="1"/>
  <c r="BT92" i="1" s="1"/>
  <c r="CL94" i="1"/>
  <c r="CJ96" i="1"/>
  <c r="CI96" i="1"/>
  <c r="CI97" i="1"/>
  <c r="CK97" i="1" s="1"/>
  <c r="CM97" i="1" s="1"/>
  <c r="CL91" i="1"/>
  <c r="CL93" i="1"/>
  <c r="BF94" i="1"/>
  <c r="BH94" i="1" s="1"/>
  <c r="BN94" i="1"/>
  <c r="BP94" i="1" s="1"/>
  <c r="BV94" i="1"/>
  <c r="BX94" i="1" s="1"/>
  <c r="CL95" i="1"/>
  <c r="BF96" i="1"/>
  <c r="BH96" i="1" s="1"/>
  <c r="BN96" i="1"/>
  <c r="BP96" i="1" s="1"/>
  <c r="BV96" i="1"/>
  <c r="BX96" i="1" s="1"/>
  <c r="CL97" i="1"/>
  <c r="BJ98" i="1"/>
  <c r="BL98" i="1" s="1"/>
  <c r="BR98" i="1"/>
  <c r="BT98" i="1" s="1"/>
  <c r="CL98" i="1"/>
  <c r="J98" i="1"/>
  <c r="F46" i="1"/>
  <c r="BN46" i="1" s="1"/>
  <c r="BP46" i="1" s="1"/>
  <c r="H66" i="1"/>
  <c r="F66" i="1" s="1"/>
  <c r="J66" i="1" s="1"/>
  <c r="H71" i="1"/>
  <c r="H67" i="1"/>
  <c r="CL46" i="1"/>
  <c r="H64" i="1"/>
  <c r="F64" i="1" s="1"/>
  <c r="J64" i="1" s="1"/>
  <c r="H69" i="1"/>
  <c r="H63" i="1"/>
  <c r="CL71" i="1"/>
  <c r="F71" i="1"/>
  <c r="CI71" i="1" s="1"/>
  <c r="CK71" i="1" s="1"/>
  <c r="CM71" i="1" s="1"/>
  <c r="H72" i="1"/>
  <c r="F48" i="1"/>
  <c r="CI48" i="1" s="1"/>
  <c r="CK48" i="1" s="1"/>
  <c r="CM48" i="1" s="1"/>
  <c r="BJ48" i="1"/>
  <c r="BL48" i="1" s="1"/>
  <c r="CL48" i="1"/>
  <c r="F16" i="1"/>
  <c r="J16" i="1" s="1"/>
  <c r="F32" i="1"/>
  <c r="CL15" i="1"/>
  <c r="F33" i="1"/>
  <c r="BF33" i="1" s="1"/>
  <c r="BH33" i="1" s="1"/>
  <c r="F31" i="1"/>
  <c r="BR31" i="1" s="1"/>
  <c r="BT31" i="1" s="1"/>
  <c r="H25" i="1"/>
  <c r="F25" i="1" s="1"/>
  <c r="CI25" i="1" s="1"/>
  <c r="CK25" i="1" s="1"/>
  <c r="CL25" i="1"/>
  <c r="CL33" i="1"/>
  <c r="CL31" i="1"/>
  <c r="CL17" i="1"/>
  <c r="H68" i="1"/>
  <c r="F68" i="1" s="1"/>
  <c r="J68" i="1" s="1"/>
  <c r="CJ24" i="1"/>
  <c r="H78" i="1"/>
  <c r="F78" i="1" s="1"/>
  <c r="J78" i="1" s="1"/>
  <c r="CJ100" i="1"/>
  <c r="CK100" i="1" s="1"/>
  <c r="CL100" i="1"/>
  <c r="H24" i="1"/>
  <c r="F24" i="1" s="1"/>
  <c r="H76" i="1"/>
  <c r="F76" i="1" s="1"/>
  <c r="CL76" i="1"/>
  <c r="H77" i="1"/>
  <c r="F77" i="1" s="1"/>
  <c r="CI77" i="1" s="1"/>
  <c r="CK77" i="1" s="1"/>
  <c r="CM77" i="1" s="1"/>
  <c r="H75" i="1"/>
  <c r="F75" i="1" s="1"/>
  <c r="CL77" i="1"/>
  <c r="H20" i="1"/>
  <c r="F20" i="1" s="1"/>
  <c r="CI20" i="1" s="1"/>
  <c r="H22" i="1"/>
  <c r="F22" i="1" s="1"/>
  <c r="CI22" i="1" s="1"/>
  <c r="H50" i="1"/>
  <c r="F50" i="1" s="1"/>
  <c r="H38" i="1"/>
  <c r="F38" i="1" s="1"/>
  <c r="H36" i="1"/>
  <c r="F36" i="1" s="1"/>
  <c r="H34" i="1"/>
  <c r="F72" i="1"/>
  <c r="J72" i="1" s="1"/>
  <c r="BZ72" i="1" s="1"/>
  <c r="H53" i="1"/>
  <c r="F53" i="1" s="1"/>
  <c r="H40" i="1"/>
  <c r="F40" i="1" s="1"/>
  <c r="H19" i="1"/>
  <c r="F19" i="1" s="1"/>
  <c r="CI19" i="1" s="1"/>
  <c r="H55" i="1"/>
  <c r="H37" i="1"/>
  <c r="F37" i="1" s="1"/>
  <c r="H35" i="1"/>
  <c r="F35" i="1" s="1"/>
  <c r="F69" i="1"/>
  <c r="J69" i="1" s="1"/>
  <c r="H121" i="1"/>
  <c r="H39" i="1"/>
  <c r="F39" i="1" s="1"/>
  <c r="H21" i="1"/>
  <c r="F21" i="1" s="1"/>
  <c r="CI21" i="1" s="1"/>
  <c r="H57" i="1"/>
  <c r="F49" i="1"/>
  <c r="H52" i="1"/>
  <c r="F52" i="1" s="1"/>
  <c r="H54" i="1"/>
  <c r="F47" i="1"/>
  <c r="H18" i="1"/>
  <c r="F18" i="1" s="1"/>
  <c r="CI18" i="1" s="1"/>
  <c r="F23" i="1"/>
  <c r="CI23" i="1" s="1"/>
  <c r="H51" i="1"/>
  <c r="F51" i="1" s="1"/>
  <c r="H65" i="1"/>
  <c r="F65" i="1" s="1"/>
  <c r="J65" i="1" s="1"/>
  <c r="H73" i="1"/>
  <c r="F73" i="1" s="1"/>
  <c r="J73" i="1" s="1"/>
  <c r="BZ73" i="1" s="1"/>
  <c r="CB73" i="1" s="1"/>
  <c r="F70" i="1"/>
  <c r="F67" i="1"/>
  <c r="J67" i="1" s="1"/>
  <c r="H74" i="1"/>
  <c r="F74" i="1" s="1"/>
  <c r="J74" i="1" s="1"/>
  <c r="BZ74" i="1" s="1"/>
  <c r="BY130" i="1"/>
  <c r="BY125" i="1"/>
  <c r="BZ56" i="1"/>
  <c r="CB56" i="1" s="1"/>
  <c r="BJ46" i="1" l="1"/>
  <c r="BL46" i="1" s="1"/>
  <c r="BF46" i="1"/>
  <c r="BH46" i="1" s="1"/>
  <c r="BR46" i="1"/>
  <c r="BT46" i="1" s="1"/>
  <c r="CI46" i="1"/>
  <c r="CK46" i="1" s="1"/>
  <c r="CM46" i="1" s="1"/>
  <c r="BV46" i="1"/>
  <c r="BX46" i="1" s="1"/>
  <c r="BZ118" i="1"/>
  <c r="CB118" i="1" s="1"/>
  <c r="L118" i="1"/>
  <c r="BV114" i="1"/>
  <c r="BX114" i="1" s="1"/>
  <c r="BN114" i="1"/>
  <c r="BP114" i="1" s="1"/>
  <c r="BF114" i="1"/>
  <c r="BH114" i="1" s="1"/>
  <c r="BR114" i="1"/>
  <c r="BT114" i="1" s="1"/>
  <c r="J114" i="1"/>
  <c r="BJ114" i="1"/>
  <c r="BL114" i="1" s="1"/>
  <c r="BV110" i="1"/>
  <c r="BX110" i="1" s="1"/>
  <c r="BN110" i="1"/>
  <c r="BP110" i="1" s="1"/>
  <c r="BF110" i="1"/>
  <c r="BH110" i="1" s="1"/>
  <c r="BJ110" i="1"/>
  <c r="BL110" i="1" s="1"/>
  <c r="J110" i="1"/>
  <c r="BR110" i="1"/>
  <c r="BT110" i="1" s="1"/>
  <c r="BV112" i="1"/>
  <c r="BX112" i="1" s="1"/>
  <c r="BN112" i="1"/>
  <c r="BP112" i="1" s="1"/>
  <c r="BF112" i="1"/>
  <c r="BH112" i="1" s="1"/>
  <c r="BJ112" i="1"/>
  <c r="BL112" i="1" s="1"/>
  <c r="J112" i="1"/>
  <c r="BR112" i="1"/>
  <c r="BT112" i="1" s="1"/>
  <c r="CI103" i="1"/>
  <c r="CK103" i="1" s="1"/>
  <c r="CM103" i="1" s="1"/>
  <c r="BF103" i="1"/>
  <c r="BH103" i="1" s="1"/>
  <c r="BR103" i="1"/>
  <c r="BT103" i="1" s="1"/>
  <c r="BJ103" i="1"/>
  <c r="BL103" i="1" s="1"/>
  <c r="J103" i="1"/>
  <c r="BV103" i="1"/>
  <c r="BX103" i="1" s="1"/>
  <c r="BN103" i="1"/>
  <c r="BP103" i="1" s="1"/>
  <c r="CI117" i="1"/>
  <c r="CK117" i="1" s="1"/>
  <c r="CM117" i="1" s="1"/>
  <c r="BR117" i="1"/>
  <c r="BT117" i="1" s="1"/>
  <c r="BJ117" i="1"/>
  <c r="BL117" i="1" s="1"/>
  <c r="J117" i="1"/>
  <c r="BV117" i="1"/>
  <c r="BX117" i="1" s="1"/>
  <c r="BN117" i="1"/>
  <c r="BP117" i="1" s="1"/>
  <c r="BF117" i="1"/>
  <c r="BH117" i="1" s="1"/>
  <c r="BR111" i="1"/>
  <c r="BT111" i="1" s="1"/>
  <c r="BJ111" i="1"/>
  <c r="BL111" i="1" s="1"/>
  <c r="J111" i="1"/>
  <c r="CI111" i="1"/>
  <c r="CK111" i="1" s="1"/>
  <c r="CM111" i="1" s="1"/>
  <c r="BV111" i="1"/>
  <c r="BX111" i="1" s="1"/>
  <c r="BF111" i="1"/>
  <c r="BH111" i="1" s="1"/>
  <c r="BN111" i="1"/>
  <c r="BP111" i="1" s="1"/>
  <c r="BZ113" i="1"/>
  <c r="CB113" i="1" s="1"/>
  <c r="L113" i="1"/>
  <c r="CK105" i="1"/>
  <c r="CM105" i="1" s="1"/>
  <c r="BR115" i="1"/>
  <c r="BT115" i="1" s="1"/>
  <c r="BJ115" i="1"/>
  <c r="BL115" i="1" s="1"/>
  <c r="J115" i="1"/>
  <c r="BN115" i="1"/>
  <c r="BP115" i="1" s="1"/>
  <c r="CI115" i="1"/>
  <c r="CK115" i="1" s="1"/>
  <c r="CM115" i="1" s="1"/>
  <c r="BV115" i="1"/>
  <c r="BX115" i="1" s="1"/>
  <c r="BF115" i="1"/>
  <c r="BH115" i="1" s="1"/>
  <c r="BZ109" i="1"/>
  <c r="CB109" i="1" s="1"/>
  <c r="L109" i="1"/>
  <c r="CI114" i="1"/>
  <c r="CK114" i="1" s="1"/>
  <c r="CM114" i="1" s="1"/>
  <c r="BV108" i="1"/>
  <c r="BX108" i="1" s="1"/>
  <c r="BN108" i="1"/>
  <c r="BP108" i="1" s="1"/>
  <c r="BF108" i="1"/>
  <c r="BH108" i="1" s="1"/>
  <c r="CI108" i="1"/>
  <c r="CK108" i="1" s="1"/>
  <c r="CM108" i="1" s="1"/>
  <c r="BR108" i="1"/>
  <c r="BT108" i="1" s="1"/>
  <c r="BJ108" i="1"/>
  <c r="BL108" i="1" s="1"/>
  <c r="J108" i="1"/>
  <c r="CI110" i="1"/>
  <c r="CK110" i="1" s="1"/>
  <c r="CM110" i="1" s="1"/>
  <c r="CK107" i="1"/>
  <c r="CM107" i="1" s="1"/>
  <c r="BV116" i="1"/>
  <c r="BX116" i="1" s="1"/>
  <c r="BN116" i="1"/>
  <c r="BP116" i="1" s="1"/>
  <c r="BF116" i="1"/>
  <c r="BH116" i="1" s="1"/>
  <c r="BJ116" i="1"/>
  <c r="BL116" i="1" s="1"/>
  <c r="BR116" i="1"/>
  <c r="BT116" i="1" s="1"/>
  <c r="J116" i="1"/>
  <c r="BV106" i="1"/>
  <c r="BX106" i="1" s="1"/>
  <c r="BN106" i="1"/>
  <c r="BP106" i="1" s="1"/>
  <c r="BF106" i="1"/>
  <c r="BH106" i="1" s="1"/>
  <c r="CI106" i="1"/>
  <c r="CK106" i="1" s="1"/>
  <c r="CM106" i="1" s="1"/>
  <c r="BR106" i="1"/>
  <c r="BT106" i="1" s="1"/>
  <c r="BJ106" i="1"/>
  <c r="BL106" i="1" s="1"/>
  <c r="J106" i="1"/>
  <c r="CK109" i="1"/>
  <c r="CM109" i="1" s="1"/>
  <c r="BZ107" i="1"/>
  <c r="CB107" i="1" s="1"/>
  <c r="L107" i="1"/>
  <c r="BZ105" i="1"/>
  <c r="CB105" i="1" s="1"/>
  <c r="L105" i="1"/>
  <c r="BZ98" i="1"/>
  <c r="CB98" i="1" s="1"/>
  <c r="L98" i="1"/>
  <c r="BZ92" i="1"/>
  <c r="CB92" i="1" s="1"/>
  <c r="L92" i="1"/>
  <c r="BR91" i="1"/>
  <c r="BT91" i="1" s="1"/>
  <c r="BJ91" i="1"/>
  <c r="BL91" i="1" s="1"/>
  <c r="BV91" i="1"/>
  <c r="BX91" i="1" s="1"/>
  <c r="BF91" i="1"/>
  <c r="BH91" i="1" s="1"/>
  <c r="J91" i="1"/>
  <c r="BN91" i="1"/>
  <c r="BP91" i="1" s="1"/>
  <c r="BV90" i="1"/>
  <c r="BX90" i="1" s="1"/>
  <c r="BN90" i="1"/>
  <c r="BP90" i="1" s="1"/>
  <c r="BF90" i="1"/>
  <c r="BH90" i="1" s="1"/>
  <c r="J90" i="1"/>
  <c r="BR90" i="1"/>
  <c r="BT90" i="1" s="1"/>
  <c r="BJ90" i="1"/>
  <c r="BL90" i="1" s="1"/>
  <c r="BV83" i="1"/>
  <c r="BX83" i="1" s="1"/>
  <c r="BN83" i="1"/>
  <c r="BP83" i="1" s="1"/>
  <c r="J83" i="1"/>
  <c r="CI83" i="1"/>
  <c r="CK83" i="1" s="1"/>
  <c r="CM83" i="1" s="1"/>
  <c r="BF83" i="1"/>
  <c r="BH83" i="1" s="1"/>
  <c r="BR83" i="1"/>
  <c r="BT83" i="1" s="1"/>
  <c r="BJ83" i="1"/>
  <c r="BL83" i="1" s="1"/>
  <c r="BR85" i="1"/>
  <c r="BT85" i="1" s="1"/>
  <c r="BJ85" i="1"/>
  <c r="BL85" i="1" s="1"/>
  <c r="J85" i="1"/>
  <c r="BV85" i="1"/>
  <c r="BX85" i="1" s="1"/>
  <c r="BN85" i="1"/>
  <c r="BP85" i="1" s="1"/>
  <c r="BF85" i="1"/>
  <c r="BH85" i="1" s="1"/>
  <c r="L84" i="1"/>
  <c r="BZ84" i="1"/>
  <c r="CB84" i="1" s="1"/>
  <c r="CI91" i="1"/>
  <c r="CK91" i="1" s="1"/>
  <c r="CM91" i="1" s="1"/>
  <c r="BR93" i="1"/>
  <c r="BT93" i="1" s="1"/>
  <c r="BJ93" i="1"/>
  <c r="BL93" i="1" s="1"/>
  <c r="J93" i="1"/>
  <c r="BV93" i="1"/>
  <c r="BX93" i="1" s="1"/>
  <c r="BN93" i="1"/>
  <c r="BP93" i="1" s="1"/>
  <c r="BF93" i="1"/>
  <c r="BH93" i="1" s="1"/>
  <c r="BV87" i="1"/>
  <c r="BX87" i="1" s="1"/>
  <c r="BF87" i="1"/>
  <c r="BH87" i="1" s="1"/>
  <c r="BR87" i="1"/>
  <c r="BT87" i="1" s="1"/>
  <c r="BJ87" i="1"/>
  <c r="BL87" i="1" s="1"/>
  <c r="J87" i="1"/>
  <c r="BN87" i="1"/>
  <c r="BP87" i="1" s="1"/>
  <c r="BR95" i="1"/>
  <c r="BT95" i="1" s="1"/>
  <c r="BJ95" i="1"/>
  <c r="BL95" i="1" s="1"/>
  <c r="J95" i="1"/>
  <c r="BN95" i="1"/>
  <c r="BP95" i="1" s="1"/>
  <c r="BV95" i="1"/>
  <c r="BX95" i="1" s="1"/>
  <c r="BF95" i="1"/>
  <c r="BH95" i="1" s="1"/>
  <c r="J88" i="1"/>
  <c r="BR88" i="1"/>
  <c r="BT88" i="1" s="1"/>
  <c r="BJ88" i="1"/>
  <c r="BL88" i="1" s="1"/>
  <c r="BV88" i="1"/>
  <c r="BX88" i="1" s="1"/>
  <c r="BN88" i="1"/>
  <c r="BP88" i="1" s="1"/>
  <c r="BF88" i="1"/>
  <c r="BH88" i="1" s="1"/>
  <c r="CK96" i="1"/>
  <c r="CM96" i="1" s="1"/>
  <c r="BR89" i="1"/>
  <c r="BT89" i="1" s="1"/>
  <c r="BJ89" i="1"/>
  <c r="BL89" i="1" s="1"/>
  <c r="BV89" i="1"/>
  <c r="BX89" i="1" s="1"/>
  <c r="BN89" i="1"/>
  <c r="BP89" i="1" s="1"/>
  <c r="J89" i="1"/>
  <c r="BF89" i="1"/>
  <c r="BH89" i="1" s="1"/>
  <c r="BR97" i="1"/>
  <c r="BT97" i="1" s="1"/>
  <c r="BJ97" i="1"/>
  <c r="BL97" i="1" s="1"/>
  <c r="J97" i="1"/>
  <c r="BF97" i="1"/>
  <c r="BH97" i="1" s="1"/>
  <c r="BN97" i="1"/>
  <c r="BP97" i="1" s="1"/>
  <c r="BV97" i="1"/>
  <c r="BX97" i="1" s="1"/>
  <c r="J86" i="1"/>
  <c r="BV86" i="1"/>
  <c r="BX86" i="1" s="1"/>
  <c r="BN86" i="1"/>
  <c r="BP86" i="1" s="1"/>
  <c r="BF86" i="1"/>
  <c r="BH86" i="1" s="1"/>
  <c r="BR86" i="1"/>
  <c r="BT86" i="1" s="1"/>
  <c r="BJ86" i="1"/>
  <c r="BL86" i="1" s="1"/>
  <c r="CI89" i="1"/>
  <c r="CK89" i="1" s="1"/>
  <c r="CM89" i="1" s="1"/>
  <c r="CI85" i="1"/>
  <c r="CK85" i="1" s="1"/>
  <c r="CM85" i="1" s="1"/>
  <c r="BR33" i="1"/>
  <c r="BT33" i="1" s="1"/>
  <c r="CI33" i="1"/>
  <c r="CK33" i="1" s="1"/>
  <c r="CM33" i="1" s="1"/>
  <c r="BN33" i="1"/>
  <c r="BP33" i="1" s="1"/>
  <c r="BJ33" i="1"/>
  <c r="BL33" i="1" s="1"/>
  <c r="BV33" i="1"/>
  <c r="BX33" i="1" s="1"/>
  <c r="J70" i="1"/>
  <c r="BB71" i="1"/>
  <c r="BD71" i="1" s="1"/>
  <c r="AT71" i="1"/>
  <c r="AV71" i="1" s="1"/>
  <c r="R71" i="1"/>
  <c r="T71" i="1" s="1"/>
  <c r="AL71" i="1"/>
  <c r="AN71" i="1" s="1"/>
  <c r="AD71" i="1"/>
  <c r="AF71" i="1" s="1"/>
  <c r="AX71" i="1"/>
  <c r="AZ71" i="1" s="1"/>
  <c r="AP71" i="1"/>
  <c r="AR71" i="1" s="1"/>
  <c r="V71" i="1"/>
  <c r="X71" i="1" s="1"/>
  <c r="N71" i="1"/>
  <c r="AH71" i="1"/>
  <c r="AJ71" i="1" s="1"/>
  <c r="Z71" i="1"/>
  <c r="AB71" i="1" s="1"/>
  <c r="BN71" i="1"/>
  <c r="BP71" i="1" s="1"/>
  <c r="BR71" i="1"/>
  <c r="BT71" i="1" s="1"/>
  <c r="BJ71" i="1"/>
  <c r="BL71" i="1" s="1"/>
  <c r="BV71" i="1"/>
  <c r="BX71" i="1" s="1"/>
  <c r="J71" i="1"/>
  <c r="BF71" i="1"/>
  <c r="BH71" i="1" s="1"/>
  <c r="BR48" i="1"/>
  <c r="BT48" i="1" s="1"/>
  <c r="BB48" i="1"/>
  <c r="BD48" i="1" s="1"/>
  <c r="Z48" i="1"/>
  <c r="AB48" i="1" s="1"/>
  <c r="R48" i="1"/>
  <c r="T48" i="1" s="1"/>
  <c r="AT48" i="1"/>
  <c r="AV48" i="1" s="1"/>
  <c r="AL48" i="1"/>
  <c r="AN48" i="1" s="1"/>
  <c r="J48" i="1"/>
  <c r="AX48" i="1"/>
  <c r="AZ48" i="1" s="1"/>
  <c r="AD48" i="1"/>
  <c r="AF48" i="1" s="1"/>
  <c r="V48" i="1"/>
  <c r="X48" i="1" s="1"/>
  <c r="AP48" i="1"/>
  <c r="AR48" i="1" s="1"/>
  <c r="AH48" i="1"/>
  <c r="AJ48" i="1" s="1"/>
  <c r="N48" i="1"/>
  <c r="BF48" i="1"/>
  <c r="BH48" i="1" s="1"/>
  <c r="BV48" i="1"/>
  <c r="BX48" i="1" s="1"/>
  <c r="BN48" i="1"/>
  <c r="BP48" i="1" s="1"/>
  <c r="BJ31" i="1"/>
  <c r="BL31" i="1" s="1"/>
  <c r="BF31" i="1"/>
  <c r="BH31" i="1" s="1"/>
  <c r="BV31" i="1"/>
  <c r="BX31" i="1" s="1"/>
  <c r="H27" i="1"/>
  <c r="CI24" i="1"/>
  <c r="CK24" i="1" s="1"/>
  <c r="CM24" i="1" s="1"/>
  <c r="V25" i="1"/>
  <c r="X25" i="1" s="1"/>
  <c r="BB25" i="1"/>
  <c r="BD25" i="1" s="1"/>
  <c r="J25" i="1"/>
  <c r="R25" i="1"/>
  <c r="T25" i="1" s="1"/>
  <c r="AD25" i="1"/>
  <c r="AF25" i="1" s="1"/>
  <c r="AP25" i="1"/>
  <c r="AR25" i="1" s="1"/>
  <c r="AX25" i="1"/>
  <c r="AZ25" i="1" s="1"/>
  <c r="AL25" i="1"/>
  <c r="AN25" i="1" s="1"/>
  <c r="N25" i="1"/>
  <c r="Z25" i="1"/>
  <c r="AB25" i="1" s="1"/>
  <c r="AH25" i="1"/>
  <c r="AJ25" i="1" s="1"/>
  <c r="AT25" i="1"/>
  <c r="AV25" i="1" s="1"/>
  <c r="CI31" i="1"/>
  <c r="CK31" i="1" s="1"/>
  <c r="CM31" i="1" s="1"/>
  <c r="BN31" i="1"/>
  <c r="BP31" i="1" s="1"/>
  <c r="BJ25" i="1"/>
  <c r="BL25" i="1" s="1"/>
  <c r="BR25" i="1"/>
  <c r="BT25" i="1" s="1"/>
  <c r="BF25" i="1"/>
  <c r="BH25" i="1" s="1"/>
  <c r="BN25" i="1"/>
  <c r="BP25" i="1" s="1"/>
  <c r="BV25" i="1"/>
  <c r="BX25" i="1" s="1"/>
  <c r="V33" i="1"/>
  <c r="X33" i="1" s="1"/>
  <c r="BB33" i="1"/>
  <c r="BD33" i="1" s="1"/>
  <c r="J33" i="1"/>
  <c r="R33" i="1"/>
  <c r="T33" i="1" s="1"/>
  <c r="AD33" i="1"/>
  <c r="AF33" i="1" s="1"/>
  <c r="AP33" i="1"/>
  <c r="AR33" i="1" s="1"/>
  <c r="AX33" i="1"/>
  <c r="AZ33" i="1" s="1"/>
  <c r="AL33" i="1"/>
  <c r="AN33" i="1" s="1"/>
  <c r="N33" i="1"/>
  <c r="Z33" i="1"/>
  <c r="AB33" i="1" s="1"/>
  <c r="AH33" i="1"/>
  <c r="AJ33" i="1" s="1"/>
  <c r="AT33" i="1"/>
  <c r="AV33" i="1" s="1"/>
  <c r="CI16" i="1"/>
  <c r="R17" i="1"/>
  <c r="T17" i="1" s="1"/>
  <c r="Z17" i="1"/>
  <c r="AB17" i="1" s="1"/>
  <c r="AT17" i="1"/>
  <c r="AV17" i="1" s="1"/>
  <c r="BB17" i="1"/>
  <c r="BD17" i="1" s="1"/>
  <c r="AL17" i="1"/>
  <c r="AN17" i="1" s="1"/>
  <c r="AH17" i="1"/>
  <c r="AJ17" i="1" s="1"/>
  <c r="AP17" i="1"/>
  <c r="AR17" i="1" s="1"/>
  <c r="J17" i="1"/>
  <c r="AD17" i="1"/>
  <c r="AF17" i="1" s="1"/>
  <c r="N17" i="1"/>
  <c r="V17" i="1"/>
  <c r="X17" i="1" s="1"/>
  <c r="AX17" i="1"/>
  <c r="AZ17" i="1" s="1"/>
  <c r="F15" i="1"/>
  <c r="F17" i="1"/>
  <c r="CM25" i="1"/>
  <c r="H59" i="1"/>
  <c r="H80" i="1"/>
  <c r="H42" i="1"/>
  <c r="H120" i="1"/>
  <c r="H100" i="1"/>
  <c r="CM100" i="1" s="1"/>
  <c r="AL76" i="1"/>
  <c r="AN76" i="1" s="1"/>
  <c r="AD76" i="1"/>
  <c r="AF76" i="1" s="1"/>
  <c r="AT76" i="1"/>
  <c r="AV76" i="1" s="1"/>
  <c r="AX76" i="1"/>
  <c r="AZ76" i="1" s="1"/>
  <c r="AP76" i="1"/>
  <c r="AR76" i="1" s="1"/>
  <c r="V76" i="1"/>
  <c r="X76" i="1" s="1"/>
  <c r="N76" i="1"/>
  <c r="AH76" i="1"/>
  <c r="AJ76" i="1" s="1"/>
  <c r="Z76" i="1"/>
  <c r="AB76" i="1" s="1"/>
  <c r="BB76" i="1"/>
  <c r="BD76" i="1" s="1"/>
  <c r="R76" i="1"/>
  <c r="T76" i="1" s="1"/>
  <c r="BV76" i="1"/>
  <c r="BX76" i="1" s="1"/>
  <c r="BR76" i="1"/>
  <c r="BT76" i="1" s="1"/>
  <c r="BJ76" i="1"/>
  <c r="BL76" i="1" s="1"/>
  <c r="J76" i="1"/>
  <c r="BN76" i="1"/>
  <c r="BP76" i="1" s="1"/>
  <c r="BF76" i="1"/>
  <c r="BH76" i="1" s="1"/>
  <c r="CI76" i="1"/>
  <c r="CK76" i="1" s="1"/>
  <c r="CM76" i="1" s="1"/>
  <c r="J75" i="1"/>
  <c r="BB77" i="1"/>
  <c r="BD77" i="1" s="1"/>
  <c r="AT77" i="1"/>
  <c r="AV77" i="1" s="1"/>
  <c r="R77" i="1"/>
  <c r="T77" i="1" s="1"/>
  <c r="AL77" i="1"/>
  <c r="AN77" i="1" s="1"/>
  <c r="AD77" i="1"/>
  <c r="AF77" i="1" s="1"/>
  <c r="AX77" i="1"/>
  <c r="AZ77" i="1" s="1"/>
  <c r="AP77" i="1"/>
  <c r="AR77" i="1" s="1"/>
  <c r="V77" i="1"/>
  <c r="X77" i="1" s="1"/>
  <c r="N77" i="1"/>
  <c r="AH77" i="1"/>
  <c r="AJ77" i="1" s="1"/>
  <c r="Z77" i="1"/>
  <c r="AB77" i="1" s="1"/>
  <c r="BR77" i="1"/>
  <c r="BT77" i="1" s="1"/>
  <c r="BJ77" i="1"/>
  <c r="BL77" i="1" s="1"/>
  <c r="J77" i="1"/>
  <c r="BV77" i="1"/>
  <c r="BX77" i="1" s="1"/>
  <c r="BN77" i="1"/>
  <c r="BP77" i="1" s="1"/>
  <c r="BF77" i="1"/>
  <c r="BH77" i="1" s="1"/>
  <c r="F34" i="1"/>
  <c r="F30" i="1"/>
  <c r="F45" i="1"/>
  <c r="F14" i="1"/>
  <c r="F63" i="1"/>
  <c r="J63" i="1" s="1"/>
  <c r="BV64" i="1"/>
  <c r="BV56" i="1"/>
  <c r="BX56" i="1" s="1"/>
  <c r="CC130" i="1"/>
  <c r="CC125" i="1"/>
  <c r="CD56" i="1"/>
  <c r="CF56" i="1" s="1"/>
  <c r="BU130" i="1"/>
  <c r="BU125" i="1"/>
  <c r="L106" i="1" l="1"/>
  <c r="BZ106" i="1"/>
  <c r="CB106" i="1" s="1"/>
  <c r="BZ115" i="1"/>
  <c r="CB115" i="1" s="1"/>
  <c r="L115" i="1"/>
  <c r="L117" i="1"/>
  <c r="BZ117" i="1"/>
  <c r="CB117" i="1" s="1"/>
  <c r="L112" i="1"/>
  <c r="BZ112" i="1"/>
  <c r="CB112" i="1" s="1"/>
  <c r="L114" i="1"/>
  <c r="BZ114" i="1"/>
  <c r="CB114" i="1" s="1"/>
  <c r="L116" i="1"/>
  <c r="BZ116" i="1"/>
  <c r="CB116" i="1" s="1"/>
  <c r="L108" i="1"/>
  <c r="BZ108" i="1"/>
  <c r="CB108" i="1" s="1"/>
  <c r="BZ111" i="1"/>
  <c r="CB111" i="1" s="1"/>
  <c r="L111" i="1"/>
  <c r="BZ103" i="1"/>
  <c r="CB103" i="1" s="1"/>
  <c r="L103" i="1"/>
  <c r="L110" i="1"/>
  <c r="BZ110" i="1"/>
  <c r="CB110" i="1" s="1"/>
  <c r="L88" i="1"/>
  <c r="BZ88" i="1"/>
  <c r="CB88" i="1" s="1"/>
  <c r="L95" i="1"/>
  <c r="BZ95" i="1"/>
  <c r="CB95" i="1" s="1"/>
  <c r="L87" i="1"/>
  <c r="BZ87" i="1"/>
  <c r="CB87" i="1" s="1"/>
  <c r="L93" i="1"/>
  <c r="BZ93" i="1"/>
  <c r="CB93" i="1" s="1"/>
  <c r="BZ83" i="1"/>
  <c r="CB83" i="1" s="1"/>
  <c r="L83" i="1"/>
  <c r="L86" i="1"/>
  <c r="BZ86" i="1"/>
  <c r="CB86" i="1" s="1"/>
  <c r="L97" i="1"/>
  <c r="BZ97" i="1"/>
  <c r="CB97" i="1" s="1"/>
  <c r="L89" i="1"/>
  <c r="BZ89" i="1"/>
  <c r="CB89" i="1" s="1"/>
  <c r="L85" i="1"/>
  <c r="BZ85" i="1"/>
  <c r="CB85" i="1" s="1"/>
  <c r="BZ90" i="1"/>
  <c r="CB90" i="1" s="1"/>
  <c r="L90" i="1"/>
  <c r="L91" i="1"/>
  <c r="BZ91" i="1"/>
  <c r="CB91" i="1" s="1"/>
  <c r="CD71" i="1"/>
  <c r="CF71" i="1" s="1"/>
  <c r="P71" i="1"/>
  <c r="L71" i="1"/>
  <c r="BZ71" i="1"/>
  <c r="CB71" i="1" s="1"/>
  <c r="BZ48" i="1"/>
  <c r="CB48" i="1" s="1"/>
  <c r="L48" i="1"/>
  <c r="CD48" i="1"/>
  <c r="CF48" i="1" s="1"/>
  <c r="P48" i="1"/>
  <c r="R46" i="1"/>
  <c r="T46" i="1" s="1"/>
  <c r="Z46" i="1"/>
  <c r="AB46" i="1" s="1"/>
  <c r="AT46" i="1"/>
  <c r="AV46" i="1" s="1"/>
  <c r="BB46" i="1"/>
  <c r="BD46" i="1" s="1"/>
  <c r="AH46" i="1"/>
  <c r="AJ46" i="1" s="1"/>
  <c r="AP46" i="1"/>
  <c r="AR46" i="1" s="1"/>
  <c r="N46" i="1"/>
  <c r="V46" i="1"/>
  <c r="X46" i="1" s="1"/>
  <c r="AX46" i="1"/>
  <c r="AZ46" i="1" s="1"/>
  <c r="J46" i="1"/>
  <c r="AD46" i="1"/>
  <c r="AF46" i="1" s="1"/>
  <c r="AL46" i="1"/>
  <c r="AN46" i="1" s="1"/>
  <c r="BZ25" i="1"/>
  <c r="CB25" i="1" s="1"/>
  <c r="L25" i="1"/>
  <c r="P25" i="1"/>
  <c r="CD25" i="1"/>
  <c r="CF25" i="1" s="1"/>
  <c r="L33" i="1"/>
  <c r="BZ33" i="1"/>
  <c r="CB33" i="1" s="1"/>
  <c r="P33" i="1"/>
  <c r="CD33" i="1"/>
  <c r="CF33" i="1" s="1"/>
  <c r="CI30" i="1"/>
  <c r="N31" i="1"/>
  <c r="Z31" i="1"/>
  <c r="AB31" i="1" s="1"/>
  <c r="AH31" i="1"/>
  <c r="AJ31" i="1" s="1"/>
  <c r="AT31" i="1"/>
  <c r="AV31" i="1" s="1"/>
  <c r="V31" i="1"/>
  <c r="X31" i="1" s="1"/>
  <c r="BB31" i="1"/>
  <c r="BD31" i="1" s="1"/>
  <c r="J31" i="1"/>
  <c r="R31" i="1"/>
  <c r="T31" i="1" s="1"/>
  <c r="AD31" i="1"/>
  <c r="AF31" i="1" s="1"/>
  <c r="AP31" i="1"/>
  <c r="AR31" i="1" s="1"/>
  <c r="AX31" i="1"/>
  <c r="AZ31" i="1" s="1"/>
  <c r="AL31" i="1"/>
  <c r="AN31" i="1" s="1"/>
  <c r="BN17" i="1"/>
  <c r="BP17" i="1" s="1"/>
  <c r="BF17" i="1"/>
  <c r="BH17" i="1" s="1"/>
  <c r="CI17" i="1"/>
  <c r="CK17" i="1" s="1"/>
  <c r="CM17" i="1" s="1"/>
  <c r="BV17" i="1"/>
  <c r="BX17" i="1" s="1"/>
  <c r="BJ17" i="1"/>
  <c r="BL17" i="1" s="1"/>
  <c r="BR17" i="1"/>
  <c r="BT17" i="1" s="1"/>
  <c r="CD17" i="1"/>
  <c r="CF17" i="1" s="1"/>
  <c r="P17" i="1"/>
  <c r="BJ15" i="1"/>
  <c r="BL15" i="1" s="1"/>
  <c r="CI15" i="1"/>
  <c r="CK15" i="1" s="1"/>
  <c r="CM15" i="1" s="1"/>
  <c r="BN15" i="1"/>
  <c r="BP15" i="1" s="1"/>
  <c r="BR15" i="1"/>
  <c r="BT15" i="1" s="1"/>
  <c r="BV15" i="1"/>
  <c r="BX15" i="1" s="1"/>
  <c r="BF15" i="1"/>
  <c r="BH15" i="1" s="1"/>
  <c r="J15" i="1"/>
  <c r="R15" i="1"/>
  <c r="T15" i="1" s="1"/>
  <c r="AL15" i="1"/>
  <c r="AN15" i="1" s="1"/>
  <c r="AT15" i="1"/>
  <c r="AV15" i="1" s="1"/>
  <c r="V15" i="1"/>
  <c r="X15" i="1" s="1"/>
  <c r="AD15" i="1"/>
  <c r="AF15" i="1" s="1"/>
  <c r="Z15" i="1"/>
  <c r="AB15" i="1" s="1"/>
  <c r="AH15" i="1"/>
  <c r="AJ15" i="1" s="1"/>
  <c r="BB15" i="1"/>
  <c r="BD15" i="1" s="1"/>
  <c r="N15" i="1"/>
  <c r="AP15" i="1"/>
  <c r="AR15" i="1" s="1"/>
  <c r="AX15" i="1"/>
  <c r="AZ15" i="1" s="1"/>
  <c r="BZ17" i="1"/>
  <c r="CB17" i="1" s="1"/>
  <c r="L17" i="1"/>
  <c r="P76" i="1"/>
  <c r="CD76" i="1"/>
  <c r="CF76" i="1" s="1"/>
  <c r="L76" i="1"/>
  <c r="BZ76" i="1"/>
  <c r="CB76" i="1" s="1"/>
  <c r="P77" i="1"/>
  <c r="CD77" i="1"/>
  <c r="CF77" i="1" s="1"/>
  <c r="L77" i="1"/>
  <c r="BZ77" i="1"/>
  <c r="CB77" i="1" s="1"/>
  <c r="BV63" i="1"/>
  <c r="E57" i="1"/>
  <c r="E50" i="1"/>
  <c r="E49" i="1"/>
  <c r="BQ130" i="1"/>
  <c r="BR64" i="1"/>
  <c r="BT64" i="1" s="1"/>
  <c r="BR63" i="1"/>
  <c r="BT63" i="1" s="1"/>
  <c r="BR56" i="1"/>
  <c r="BT56" i="1" s="1"/>
  <c r="BQ125" i="1"/>
  <c r="CD46" i="1" l="1"/>
  <c r="CF46" i="1" s="1"/>
  <c r="P46" i="1"/>
  <c r="BZ46" i="1"/>
  <c r="CB46" i="1" s="1"/>
  <c r="L46" i="1"/>
  <c r="P31" i="1"/>
  <c r="CD31" i="1"/>
  <c r="CF31" i="1" s="1"/>
  <c r="L31" i="1"/>
  <c r="BZ31" i="1"/>
  <c r="CB31" i="1" s="1"/>
  <c r="L15" i="1"/>
  <c r="BZ15" i="1"/>
  <c r="CB15" i="1" s="1"/>
  <c r="CD15" i="1"/>
  <c r="CF15" i="1" s="1"/>
  <c r="P15" i="1"/>
  <c r="BQ124" i="1"/>
  <c r="BQ127" i="1" s="1"/>
  <c r="BM130" i="1"/>
  <c r="BM125" i="1"/>
  <c r="BN64" i="1"/>
  <c r="BP64" i="1" s="1"/>
  <c r="BN63" i="1"/>
  <c r="BP63" i="1" s="1"/>
  <c r="BN56" i="1"/>
  <c r="BP56" i="1" s="1"/>
  <c r="BI130" i="1"/>
  <c r="BI125" i="1"/>
  <c r="BE130" i="1"/>
  <c r="BF119" i="1"/>
  <c r="BG119" i="1"/>
  <c r="BJ119" i="1"/>
  <c r="BF64" i="1"/>
  <c r="BG64" i="1"/>
  <c r="BG78" i="1"/>
  <c r="BJ64" i="1"/>
  <c r="BL64" i="1" s="1"/>
  <c r="BJ63" i="1"/>
  <c r="BL63" i="1" s="1"/>
  <c r="BG63" i="1"/>
  <c r="BF63" i="1"/>
  <c r="E47" i="1"/>
  <c r="E51" i="1"/>
  <c r="E45" i="1"/>
  <c r="BG47" i="1"/>
  <c r="BG49" i="1"/>
  <c r="BG50" i="1"/>
  <c r="BG51" i="1"/>
  <c r="BG52" i="1"/>
  <c r="BG53" i="1"/>
  <c r="BG54" i="1"/>
  <c r="BG55" i="1"/>
  <c r="BF56" i="1"/>
  <c r="BG56" i="1"/>
  <c r="BG57" i="1"/>
  <c r="BJ56" i="1"/>
  <c r="BL56" i="1" s="1"/>
  <c r="BG45" i="1"/>
  <c r="BG32" i="1"/>
  <c r="BG34" i="1"/>
  <c r="BG35" i="1"/>
  <c r="BG36" i="1"/>
  <c r="BG37" i="1"/>
  <c r="BG38" i="1"/>
  <c r="BG39" i="1"/>
  <c r="BG40" i="1"/>
  <c r="BG30" i="1"/>
  <c r="BG16" i="1"/>
  <c r="BG18" i="1"/>
  <c r="BG19" i="1"/>
  <c r="BG20" i="1"/>
  <c r="BG21" i="1"/>
  <c r="BG22" i="1"/>
  <c r="BG23" i="1"/>
  <c r="BG24" i="1"/>
  <c r="BG14" i="1"/>
  <c r="BQ126" i="1" l="1"/>
  <c r="BQ128" i="1" s="1"/>
  <c r="BH64" i="1"/>
  <c r="BH63" i="1"/>
  <c r="BH56" i="1"/>
  <c r="BM124" i="1"/>
  <c r="AX63" i="1"/>
  <c r="AX64" i="1"/>
  <c r="AY14" i="1"/>
  <c r="AY16" i="1"/>
  <c r="AY18" i="1"/>
  <c r="AY19" i="1"/>
  <c r="AY20" i="1"/>
  <c r="AY21" i="1"/>
  <c r="AY22" i="1"/>
  <c r="AY23" i="1"/>
  <c r="AY24" i="1"/>
  <c r="AY30" i="1"/>
  <c r="AY32" i="1"/>
  <c r="AY34" i="1"/>
  <c r="AY35" i="1"/>
  <c r="AY36" i="1"/>
  <c r="AY37" i="1"/>
  <c r="AY38" i="1"/>
  <c r="AY39" i="1"/>
  <c r="AY40" i="1"/>
  <c r="AY45" i="1"/>
  <c r="AY47" i="1"/>
  <c r="AY49" i="1"/>
  <c r="AY50" i="1"/>
  <c r="AY51" i="1"/>
  <c r="AY52" i="1"/>
  <c r="AY53" i="1"/>
  <c r="AY54" i="1"/>
  <c r="AY55" i="1"/>
  <c r="AY57" i="1"/>
  <c r="AY63" i="1"/>
  <c r="AY64" i="1"/>
  <c r="AY66" i="1"/>
  <c r="AY67" i="1"/>
  <c r="AY68" i="1"/>
  <c r="AY69" i="1"/>
  <c r="AY70" i="1"/>
  <c r="AY73" i="1"/>
  <c r="AY74" i="1"/>
  <c r="AY75" i="1"/>
  <c r="AY78" i="1"/>
  <c r="AU70" i="1"/>
  <c r="AU34" i="1"/>
  <c r="AU49" i="1"/>
  <c r="AU75" i="1"/>
  <c r="AU20" i="1"/>
  <c r="AU51" i="1"/>
  <c r="AU55" i="1"/>
  <c r="AT63" i="1"/>
  <c r="AT64" i="1"/>
  <c r="AU65" i="1"/>
  <c r="AU14" i="1"/>
  <c r="AU16" i="1"/>
  <c r="AU18" i="1"/>
  <c r="AU19" i="1"/>
  <c r="AU21" i="1"/>
  <c r="AU22" i="1"/>
  <c r="AU23" i="1"/>
  <c r="AU24" i="1"/>
  <c r="AU30" i="1"/>
  <c r="AU32" i="1"/>
  <c r="AU35" i="1"/>
  <c r="AU36" i="1"/>
  <c r="AU37" i="1"/>
  <c r="AU38" i="1"/>
  <c r="AU39" i="1"/>
  <c r="AU40" i="1"/>
  <c r="AU45" i="1"/>
  <c r="AU47" i="1"/>
  <c r="AU50" i="1"/>
  <c r="AU52" i="1"/>
  <c r="AU53" i="1"/>
  <c r="AU54" i="1"/>
  <c r="AU57" i="1"/>
  <c r="AU63" i="1"/>
  <c r="AU64" i="1"/>
  <c r="AU66" i="1"/>
  <c r="AU67" i="1"/>
  <c r="AU68" i="1"/>
  <c r="AU69" i="1"/>
  <c r="AU73" i="1"/>
  <c r="AU74" i="1"/>
  <c r="AU78" i="1"/>
  <c r="BB63" i="1"/>
  <c r="BD63" i="1" s="1"/>
  <c r="BB64" i="1"/>
  <c r="BD64" i="1" s="1"/>
  <c r="AP63" i="1"/>
  <c r="AP64" i="1"/>
  <c r="AL63" i="1"/>
  <c r="AL64" i="1"/>
  <c r="AM72" i="1"/>
  <c r="AI72" i="1"/>
  <c r="AH63" i="1"/>
  <c r="AH64" i="1"/>
  <c r="AI14" i="1"/>
  <c r="AI16" i="1"/>
  <c r="AI18" i="1"/>
  <c r="AI19" i="1"/>
  <c r="AI20" i="1"/>
  <c r="AI21" i="1"/>
  <c r="AI22" i="1"/>
  <c r="AI23" i="1"/>
  <c r="AI24" i="1"/>
  <c r="AI30" i="1"/>
  <c r="AI32" i="1"/>
  <c r="AI34" i="1"/>
  <c r="AI35" i="1"/>
  <c r="AI36" i="1"/>
  <c r="AI37" i="1"/>
  <c r="AI38" i="1"/>
  <c r="AI39" i="1"/>
  <c r="AI40" i="1"/>
  <c r="AI45" i="1"/>
  <c r="AI47" i="1"/>
  <c r="AI49" i="1"/>
  <c r="AI50" i="1"/>
  <c r="AI51" i="1"/>
  <c r="AI52" i="1"/>
  <c r="AI53" i="1"/>
  <c r="AI54" i="1"/>
  <c r="AI55" i="1"/>
  <c r="AI57" i="1"/>
  <c r="AI64" i="1"/>
  <c r="AI65" i="1"/>
  <c r="AI66" i="1"/>
  <c r="AI67" i="1"/>
  <c r="AI68" i="1"/>
  <c r="AI73" i="1"/>
  <c r="AI74" i="1"/>
  <c r="AI75" i="1"/>
  <c r="AI78" i="1"/>
  <c r="AD63" i="1"/>
  <c r="AD64" i="1"/>
  <c r="AE14" i="1"/>
  <c r="AE16" i="1"/>
  <c r="AE18" i="1"/>
  <c r="AE19" i="1"/>
  <c r="AE20" i="1"/>
  <c r="AE21" i="1"/>
  <c r="AE22" i="1"/>
  <c r="AE23" i="1"/>
  <c r="AE24" i="1"/>
  <c r="AE30" i="1"/>
  <c r="AE32" i="1"/>
  <c r="AE34" i="1"/>
  <c r="AE35" i="1"/>
  <c r="AE36" i="1"/>
  <c r="AE37" i="1"/>
  <c r="AE38" i="1"/>
  <c r="AE39" i="1"/>
  <c r="AE40" i="1"/>
  <c r="AE45" i="1"/>
  <c r="AE47" i="1"/>
  <c r="AE49" i="1"/>
  <c r="AE50" i="1"/>
  <c r="AE51" i="1"/>
  <c r="AE52" i="1"/>
  <c r="AE53" i="1"/>
  <c r="AE54" i="1"/>
  <c r="AE55" i="1"/>
  <c r="AE57" i="1"/>
  <c r="AE63" i="1"/>
  <c r="AE64" i="1"/>
  <c r="AE66" i="1"/>
  <c r="AE67" i="1"/>
  <c r="AE68" i="1"/>
  <c r="AE69" i="1"/>
  <c r="AE70" i="1"/>
  <c r="AE72" i="1"/>
  <c r="AE73" i="1"/>
  <c r="AE74" i="1"/>
  <c r="AE75" i="1"/>
  <c r="AE78" i="1"/>
  <c r="Z63" i="1"/>
  <c r="Z64" i="1"/>
  <c r="AA14" i="1"/>
  <c r="AA16" i="1"/>
  <c r="AA18" i="1"/>
  <c r="AA19" i="1"/>
  <c r="AA20" i="1"/>
  <c r="AA21" i="1"/>
  <c r="AA22" i="1"/>
  <c r="AA23" i="1"/>
  <c r="AA24" i="1"/>
  <c r="AA30" i="1"/>
  <c r="AA32" i="1"/>
  <c r="AA34" i="1"/>
  <c r="AA35" i="1"/>
  <c r="AA36" i="1"/>
  <c r="AA37" i="1"/>
  <c r="AA38" i="1"/>
  <c r="AA39" i="1"/>
  <c r="AA40" i="1"/>
  <c r="AA45" i="1"/>
  <c r="AA47" i="1"/>
  <c r="AA49" i="1"/>
  <c r="AA50" i="1"/>
  <c r="AA51" i="1"/>
  <c r="AA52" i="1"/>
  <c r="AA53" i="1"/>
  <c r="AA54" i="1"/>
  <c r="AA55" i="1"/>
  <c r="AA57" i="1"/>
  <c r="AA63" i="1"/>
  <c r="AA64" i="1"/>
  <c r="AA65" i="1"/>
  <c r="AA66" i="1"/>
  <c r="AA67" i="1"/>
  <c r="AA68" i="1"/>
  <c r="AA69" i="1"/>
  <c r="AA70" i="1"/>
  <c r="AA72" i="1"/>
  <c r="AA73" i="1"/>
  <c r="AA74" i="1"/>
  <c r="AA75" i="1"/>
  <c r="AA78" i="1"/>
  <c r="H119" i="1"/>
  <c r="U125" i="1"/>
  <c r="W14" i="1"/>
  <c r="W16" i="1"/>
  <c r="W18" i="1"/>
  <c r="W19" i="1"/>
  <c r="W20" i="1"/>
  <c r="W21" i="1"/>
  <c r="W22" i="1"/>
  <c r="W23" i="1"/>
  <c r="W24" i="1"/>
  <c r="W30" i="1"/>
  <c r="W32" i="1"/>
  <c r="W34" i="1"/>
  <c r="W35" i="1"/>
  <c r="W36" i="1"/>
  <c r="W37" i="1"/>
  <c r="W38" i="1"/>
  <c r="W39" i="1"/>
  <c r="W40" i="1"/>
  <c r="W45" i="1"/>
  <c r="W47" i="1"/>
  <c r="W49" i="1"/>
  <c r="W50" i="1"/>
  <c r="W51" i="1"/>
  <c r="W52" i="1"/>
  <c r="W53" i="1"/>
  <c r="W54" i="1"/>
  <c r="W55" i="1"/>
  <c r="W57" i="1"/>
  <c r="W63" i="1"/>
  <c r="W64" i="1"/>
  <c r="W65" i="1"/>
  <c r="W66" i="1"/>
  <c r="W67" i="1"/>
  <c r="W68" i="1"/>
  <c r="W69" i="1"/>
  <c r="W70" i="1"/>
  <c r="W72" i="1"/>
  <c r="W73" i="1"/>
  <c r="W74" i="1"/>
  <c r="W75" i="1"/>
  <c r="W78" i="1"/>
  <c r="V63" i="1"/>
  <c r="V64" i="1"/>
  <c r="CI102" i="1"/>
  <c r="CI120" i="1"/>
  <c r="CH42" i="1"/>
  <c r="CJ42" i="1" s="1"/>
  <c r="CI44" i="1"/>
  <c r="N63" i="1"/>
  <c r="CD63" i="1" s="1"/>
  <c r="CF63" i="1" s="1"/>
  <c r="O63" i="1"/>
  <c r="R63" i="1"/>
  <c r="S63" i="1"/>
  <c r="AM63" i="1"/>
  <c r="AQ63" i="1"/>
  <c r="N64" i="1"/>
  <c r="CD64" i="1" s="1"/>
  <c r="CF64" i="1" s="1"/>
  <c r="O64" i="1"/>
  <c r="R64" i="1"/>
  <c r="S64" i="1"/>
  <c r="AM64" i="1"/>
  <c r="AQ64" i="1"/>
  <c r="O65" i="1"/>
  <c r="S65" i="1"/>
  <c r="AQ65" i="1"/>
  <c r="O66" i="1"/>
  <c r="S66" i="1"/>
  <c r="AM66" i="1"/>
  <c r="AQ66" i="1"/>
  <c r="O67" i="1"/>
  <c r="S67" i="1"/>
  <c r="AM67" i="1"/>
  <c r="AQ67" i="1"/>
  <c r="O68" i="1"/>
  <c r="S68" i="1"/>
  <c r="AM68" i="1"/>
  <c r="AQ68" i="1"/>
  <c r="O69" i="1"/>
  <c r="S69" i="1"/>
  <c r="AM69" i="1"/>
  <c r="AQ69" i="1"/>
  <c r="O70" i="1"/>
  <c r="S70" i="1"/>
  <c r="AM70" i="1"/>
  <c r="AQ70" i="1"/>
  <c r="O72" i="1"/>
  <c r="S72" i="1"/>
  <c r="O73" i="1"/>
  <c r="S73" i="1"/>
  <c r="AM73" i="1"/>
  <c r="AQ73" i="1"/>
  <c r="O74" i="1"/>
  <c r="S74" i="1"/>
  <c r="AM74" i="1"/>
  <c r="AQ74" i="1"/>
  <c r="O75" i="1"/>
  <c r="S75" i="1"/>
  <c r="AM75" i="1"/>
  <c r="AQ75" i="1"/>
  <c r="O78" i="1"/>
  <c r="S78" i="1"/>
  <c r="AM78" i="1"/>
  <c r="AQ78" i="1"/>
  <c r="K78" i="1"/>
  <c r="K75" i="1"/>
  <c r="K74" i="1"/>
  <c r="K73" i="1"/>
  <c r="K72" i="1"/>
  <c r="K70" i="1"/>
  <c r="K69" i="1"/>
  <c r="K68" i="1"/>
  <c r="K67" i="1"/>
  <c r="K66" i="1"/>
  <c r="K65" i="1"/>
  <c r="K64" i="1"/>
  <c r="L64" i="1" s="1"/>
  <c r="K63" i="1"/>
  <c r="BZ63" i="1"/>
  <c r="CB63" i="1" s="1"/>
  <c r="O45" i="1"/>
  <c r="S45" i="1"/>
  <c r="AM45" i="1"/>
  <c r="AQ45" i="1"/>
  <c r="O47" i="1"/>
  <c r="S47" i="1"/>
  <c r="AM47" i="1"/>
  <c r="AQ47" i="1"/>
  <c r="O49" i="1"/>
  <c r="S49" i="1"/>
  <c r="AM49" i="1"/>
  <c r="AQ49" i="1"/>
  <c r="O50" i="1"/>
  <c r="S50" i="1"/>
  <c r="AM50" i="1"/>
  <c r="AQ50" i="1"/>
  <c r="O51" i="1"/>
  <c r="S51" i="1"/>
  <c r="AM51" i="1"/>
  <c r="AQ51" i="1"/>
  <c r="O52" i="1"/>
  <c r="S52" i="1"/>
  <c r="AM52" i="1"/>
  <c r="AQ52" i="1"/>
  <c r="O53" i="1"/>
  <c r="S53" i="1"/>
  <c r="AM53" i="1"/>
  <c r="AQ53" i="1"/>
  <c r="O54" i="1"/>
  <c r="S54" i="1"/>
  <c r="AM54" i="1"/>
  <c r="AQ54" i="1"/>
  <c r="O55" i="1"/>
  <c r="S55" i="1"/>
  <c r="AM55" i="1"/>
  <c r="AQ55" i="1"/>
  <c r="O57" i="1"/>
  <c r="S57" i="1"/>
  <c r="AM57" i="1"/>
  <c r="AQ57" i="1"/>
  <c r="K57" i="1"/>
  <c r="K55" i="1"/>
  <c r="K54" i="1"/>
  <c r="K53" i="1"/>
  <c r="K52" i="1"/>
  <c r="K51" i="1"/>
  <c r="K50" i="1"/>
  <c r="K49" i="1"/>
  <c r="K47" i="1"/>
  <c r="K45" i="1"/>
  <c r="O30" i="1"/>
  <c r="S30" i="1"/>
  <c r="AM30" i="1"/>
  <c r="AQ30" i="1"/>
  <c r="O32" i="1"/>
  <c r="S32" i="1"/>
  <c r="AM32" i="1"/>
  <c r="AQ32" i="1"/>
  <c r="O34" i="1"/>
  <c r="S34" i="1"/>
  <c r="AM34" i="1"/>
  <c r="AQ34" i="1"/>
  <c r="O35" i="1"/>
  <c r="S35" i="1"/>
  <c r="AM35" i="1"/>
  <c r="AQ35" i="1"/>
  <c r="O36" i="1"/>
  <c r="S36" i="1"/>
  <c r="AM36" i="1"/>
  <c r="AQ36" i="1"/>
  <c r="O37" i="1"/>
  <c r="S37" i="1"/>
  <c r="AM37" i="1"/>
  <c r="AQ37" i="1"/>
  <c r="O38" i="1"/>
  <c r="S38" i="1"/>
  <c r="AM38" i="1"/>
  <c r="AQ38" i="1"/>
  <c r="O39" i="1"/>
  <c r="S39" i="1"/>
  <c r="AM39" i="1"/>
  <c r="AQ39" i="1"/>
  <c r="O40" i="1"/>
  <c r="S40" i="1"/>
  <c r="AM40" i="1"/>
  <c r="AQ40" i="1"/>
  <c r="K40" i="1"/>
  <c r="K39" i="1"/>
  <c r="K38" i="1"/>
  <c r="K37" i="1"/>
  <c r="K36" i="1"/>
  <c r="K35" i="1"/>
  <c r="K34" i="1"/>
  <c r="K32" i="1"/>
  <c r="K30" i="1"/>
  <c r="AM14" i="1"/>
  <c r="AQ14" i="1"/>
  <c r="AM16" i="1"/>
  <c r="AQ16" i="1"/>
  <c r="AM18" i="1"/>
  <c r="AQ18" i="1"/>
  <c r="AM19" i="1"/>
  <c r="AQ19" i="1"/>
  <c r="AM20" i="1"/>
  <c r="AQ20" i="1"/>
  <c r="AM21" i="1"/>
  <c r="AQ21" i="1"/>
  <c r="AM22" i="1"/>
  <c r="AQ22" i="1"/>
  <c r="AM23" i="1"/>
  <c r="AQ23" i="1"/>
  <c r="AM24" i="1"/>
  <c r="AQ24" i="1"/>
  <c r="O14" i="1"/>
  <c r="S14" i="1"/>
  <c r="O16" i="1"/>
  <c r="S16" i="1"/>
  <c r="O18" i="1"/>
  <c r="S18" i="1"/>
  <c r="O19" i="1"/>
  <c r="S19" i="1"/>
  <c r="O20" i="1"/>
  <c r="S20" i="1"/>
  <c r="O21" i="1"/>
  <c r="S21" i="1"/>
  <c r="O22" i="1"/>
  <c r="S22" i="1"/>
  <c r="O23" i="1"/>
  <c r="S23" i="1"/>
  <c r="O24" i="1"/>
  <c r="S24" i="1"/>
  <c r="K24" i="1"/>
  <c r="K23" i="1"/>
  <c r="K22" i="1"/>
  <c r="K21" i="1"/>
  <c r="K20" i="1"/>
  <c r="K18" i="1"/>
  <c r="K16" i="1"/>
  <c r="K14" i="1"/>
  <c r="CH80" i="1"/>
  <c r="CL80" i="1" s="1"/>
  <c r="CJ16" i="1"/>
  <c r="CL18" i="1"/>
  <c r="CJ21" i="1"/>
  <c r="CJ22" i="1"/>
  <c r="CH32" i="1"/>
  <c r="CL32" i="1" s="1"/>
  <c r="CH34" i="1"/>
  <c r="CH35" i="1"/>
  <c r="CH36" i="1"/>
  <c r="CH37" i="1"/>
  <c r="CL37" i="1" s="1"/>
  <c r="CH38" i="1"/>
  <c r="CH39" i="1"/>
  <c r="CH40" i="1"/>
  <c r="CJ40" i="1" s="1"/>
  <c r="CL45" i="1"/>
  <c r="CL51" i="1"/>
  <c r="CJ53" i="1"/>
  <c r="CJ54" i="1"/>
  <c r="CJ55" i="1"/>
  <c r="CJ56" i="1"/>
  <c r="CL64" i="1"/>
  <c r="CJ68" i="1"/>
  <c r="CJ69" i="1"/>
  <c r="CL73" i="1"/>
  <c r="CI119" i="1"/>
  <c r="BC14" i="1"/>
  <c r="BC16" i="1"/>
  <c r="BC22" i="1"/>
  <c r="BC23" i="1"/>
  <c r="BC24" i="1"/>
  <c r="BC30" i="1"/>
  <c r="BC32" i="1"/>
  <c r="BC34" i="1"/>
  <c r="BC35" i="1"/>
  <c r="BC36" i="1"/>
  <c r="BC37" i="1"/>
  <c r="BC38" i="1"/>
  <c r="BC39" i="1"/>
  <c r="BC40" i="1"/>
  <c r="BC45" i="1"/>
  <c r="BC47" i="1"/>
  <c r="BC49" i="1"/>
  <c r="BC50" i="1"/>
  <c r="BC51" i="1"/>
  <c r="BC52" i="1"/>
  <c r="BC53" i="1"/>
  <c r="BC54" i="1"/>
  <c r="BC55" i="1"/>
  <c r="BC57" i="1"/>
  <c r="BC78" i="1"/>
  <c r="AI69" i="1"/>
  <c r="AU72" i="1"/>
  <c r="AS124" i="1"/>
  <c r="CL56" i="1" l="1"/>
  <c r="CJ32" i="1"/>
  <c r="CL44" i="1"/>
  <c r="AN64" i="1"/>
  <c r="CJ80" i="1"/>
  <c r="W121" i="1"/>
  <c r="U130" i="1" s="1"/>
  <c r="CJ23" i="1"/>
  <c r="AB64" i="1"/>
  <c r="BX64" i="1"/>
  <c r="BZ64" i="1"/>
  <c r="CB64" i="1" s="1"/>
  <c r="T64" i="1"/>
  <c r="CC124" i="1"/>
  <c r="AQ72" i="1"/>
  <c r="AF64" i="1"/>
  <c r="AR63" i="1"/>
  <c r="CI63" i="1"/>
  <c r="AM65" i="1"/>
  <c r="CJ120" i="1"/>
  <c r="CK120" i="1" s="1"/>
  <c r="CM120" i="1" s="1"/>
  <c r="CL120" i="1"/>
  <c r="AZ63" i="1"/>
  <c r="L63" i="1"/>
  <c r="BX63" i="1"/>
  <c r="CJ44" i="1"/>
  <c r="CK44" i="1" s="1"/>
  <c r="Y125" i="1"/>
  <c r="Y126" i="1"/>
  <c r="AA121" i="1"/>
  <c r="Y130" i="1" s="1"/>
  <c r="AC125" i="1"/>
  <c r="AG126" i="1"/>
  <c r="AZ64" i="1"/>
  <c r="X64" i="1"/>
  <c r="BU124" i="1"/>
  <c r="AJ64" i="1"/>
  <c r="CJ72" i="1"/>
  <c r="AE65" i="1"/>
  <c r="AE121" i="1" s="1"/>
  <c r="AK124" i="1"/>
  <c r="AC126" i="1"/>
  <c r="CL40" i="1"/>
  <c r="CL65" i="1"/>
  <c r="AN63" i="1"/>
  <c r="CL50" i="1"/>
  <c r="AR64" i="1"/>
  <c r="CJ102" i="1"/>
  <c r="CK102" i="1" s="1"/>
  <c r="CM102" i="1" s="1"/>
  <c r="CJ34" i="1"/>
  <c r="CJ50" i="1"/>
  <c r="CL22" i="1"/>
  <c r="AY65" i="1"/>
  <c r="CL23" i="1"/>
  <c r="P64" i="1"/>
  <c r="AO124" i="1"/>
  <c r="CJ37" i="1"/>
  <c r="CJ73" i="1"/>
  <c r="CL16" i="1"/>
  <c r="CL66" i="1"/>
  <c r="CI42" i="1"/>
  <c r="CK42" i="1" s="1"/>
  <c r="CM42" i="1" s="1"/>
  <c r="CL54" i="1"/>
  <c r="CJ45" i="1"/>
  <c r="AB63" i="1"/>
  <c r="AF63" i="1"/>
  <c r="X63" i="1"/>
  <c r="CJ18" i="1"/>
  <c r="CJ64" i="1"/>
  <c r="CL102" i="1"/>
  <c r="P63" i="1"/>
  <c r="BM126" i="1"/>
  <c r="BM128" i="1" s="1"/>
  <c r="CJ52" i="1"/>
  <c r="CL52" i="1"/>
  <c r="CJ38" i="1"/>
  <c r="CL47" i="1"/>
  <c r="CI56" i="1"/>
  <c r="CK56" i="1" s="1"/>
  <c r="CM56" i="1" s="1"/>
  <c r="CJ47" i="1"/>
  <c r="Q125" i="1"/>
  <c r="CJ14" i="1"/>
  <c r="M125" i="1"/>
  <c r="CI64" i="1"/>
  <c r="AS125" i="1"/>
  <c r="CJ66" i="1"/>
  <c r="Y124" i="1"/>
  <c r="CL34" i="1"/>
  <c r="CL14" i="1"/>
  <c r="AV63" i="1"/>
  <c r="AV64" i="1"/>
  <c r="AW125" i="1"/>
  <c r="BI128" i="1"/>
  <c r="AK125" i="1"/>
  <c r="CL68" i="1"/>
  <c r="CL53" i="1"/>
  <c r="I125" i="1"/>
  <c r="CJ51" i="1"/>
  <c r="BC121" i="1"/>
  <c r="BA130" i="1" s="1"/>
  <c r="CL55" i="1"/>
  <c r="CJ20" i="1"/>
  <c r="CL20" i="1"/>
  <c r="CL119" i="1"/>
  <c r="CJ119" i="1"/>
  <c r="CK119" i="1" s="1"/>
  <c r="CM119" i="1" s="1"/>
  <c r="CJ57" i="1"/>
  <c r="CL57" i="1"/>
  <c r="CJ49" i="1"/>
  <c r="CL49" i="1"/>
  <c r="CJ36" i="1"/>
  <c r="CL36" i="1"/>
  <c r="CJ30" i="1"/>
  <c r="CL30" i="1"/>
  <c r="K121" i="1"/>
  <c r="I130" i="1" s="1"/>
  <c r="CL70" i="1"/>
  <c r="AI70" i="1"/>
  <c r="CJ19" i="1"/>
  <c r="CL19" i="1"/>
  <c r="T63" i="1"/>
  <c r="CL42" i="1"/>
  <c r="S121" i="1"/>
  <c r="Q130" i="1" s="1"/>
  <c r="BA124" i="1"/>
  <c r="BA126" i="1"/>
  <c r="CL78" i="1"/>
  <c r="CJ78" i="1"/>
  <c r="CL67" i="1"/>
  <c r="CJ67" i="1"/>
  <c r="CL39" i="1"/>
  <c r="CJ39" i="1"/>
  <c r="CL35" i="1"/>
  <c r="CJ35" i="1"/>
  <c r="CL74" i="1"/>
  <c r="CJ74" i="1"/>
  <c r="CL69" i="1"/>
  <c r="CJ75" i="1"/>
  <c r="O121" i="1"/>
  <c r="M130" i="1" s="1"/>
  <c r="CL38" i="1"/>
  <c r="CL21" i="1"/>
  <c r="CI80" i="1"/>
  <c r="BA128" i="1"/>
  <c r="CL75" i="1"/>
  <c r="AY72" i="1"/>
  <c r="AI63" i="1"/>
  <c r="BI124" i="1"/>
  <c r="BI126" i="1" s="1"/>
  <c r="BA125" i="1"/>
  <c r="CK80" i="1" l="1"/>
  <c r="CM80" i="1" s="1"/>
  <c r="CJ65" i="1"/>
  <c r="CL72" i="1"/>
  <c r="AM121" i="1"/>
  <c r="AK130" i="1" s="1"/>
  <c r="AQ121" i="1"/>
  <c r="AO130" i="1" s="1"/>
  <c r="CL63" i="1"/>
  <c r="CJ63" i="1"/>
  <c r="CK63" i="1" s="1"/>
  <c r="CM63" i="1" s="1"/>
  <c r="BY124" i="1"/>
  <c r="CK64" i="1"/>
  <c r="CM64" i="1" s="1"/>
  <c r="CC126" i="1"/>
  <c r="CC127" i="1"/>
  <c r="BU126" i="1"/>
  <c r="BU127" i="1"/>
  <c r="Y128" i="1"/>
  <c r="AG124" i="1"/>
  <c r="AC130" i="1"/>
  <c r="AC124" i="1"/>
  <c r="AC128" i="1"/>
  <c r="AU121" i="1"/>
  <c r="AS130" i="1" s="1"/>
  <c r="AS128" i="1"/>
  <c r="I124" i="1"/>
  <c r="I128" i="1"/>
  <c r="Q124" i="1"/>
  <c r="Q128" i="1"/>
  <c r="U128" i="1"/>
  <c r="U124" i="1"/>
  <c r="M124" i="1"/>
  <c r="M128" i="1"/>
  <c r="CJ70" i="1"/>
  <c r="AW128" i="1"/>
  <c r="AW124" i="1"/>
  <c r="AK128" i="1"/>
  <c r="AO125" i="1"/>
  <c r="AO128" i="1"/>
  <c r="AG125" i="1"/>
  <c r="AG128" i="1"/>
  <c r="AJ63" i="1"/>
  <c r="AI121" i="1"/>
  <c r="AY121" i="1"/>
  <c r="AW130" i="1" s="1"/>
  <c r="BE124" i="1"/>
  <c r="BE126" i="1" s="1"/>
  <c r="BE128" i="1"/>
  <c r="BY126" i="1" l="1"/>
  <c r="BY127" i="1"/>
  <c r="BY128" i="1" s="1"/>
  <c r="CJ121" i="1"/>
  <c r="CC128" i="1"/>
  <c r="BU128" i="1"/>
  <c r="AG130" i="1"/>
  <c r="BB69" i="1"/>
  <c r="BD69" i="1" s="1"/>
  <c r="BN66" i="1"/>
  <c r="BP66" i="1" s="1"/>
  <c r="BN72" i="1"/>
  <c r="BP72" i="1" s="1"/>
  <c r="BF78" i="1"/>
  <c r="BH78" i="1" s="1"/>
  <c r="R75" i="1"/>
  <c r="T75" i="1" s="1"/>
  <c r="AX70" i="1"/>
  <c r="AZ70" i="1" s="1"/>
  <c r="V78" i="1"/>
  <c r="X78" i="1" s="1"/>
  <c r="AT66" i="1"/>
  <c r="AV66" i="1" s="1"/>
  <c r="AT78" i="1"/>
  <c r="AV78" i="1" s="1"/>
  <c r="AP66" i="1"/>
  <c r="AR66" i="1" s="1"/>
  <c r="AP73" i="1"/>
  <c r="AR73" i="1" s="1"/>
  <c r="Z70" i="1"/>
  <c r="AB70" i="1" s="1"/>
  <c r="BB78" i="1"/>
  <c r="BD78" i="1" s="1"/>
  <c r="Z73" i="1"/>
  <c r="AB73" i="1" s="1"/>
  <c r="BV78" i="1"/>
  <c r="BX78" i="1" s="1"/>
  <c r="AP70" i="1"/>
  <c r="AR70" i="1" s="1"/>
  <c r="V69" i="1"/>
  <c r="X69" i="1" s="1"/>
  <c r="AH68" i="1"/>
  <c r="AJ68" i="1" s="1"/>
  <c r="N66" i="1"/>
  <c r="CD66" i="1" s="1"/>
  <c r="CF66" i="1" s="1"/>
  <c r="AT69" i="1"/>
  <c r="AV69" i="1" s="1"/>
  <c r="R72" i="1"/>
  <c r="T72" i="1" s="1"/>
  <c r="AT68" i="1"/>
  <c r="AV68" i="1" s="1"/>
  <c r="AX75" i="1"/>
  <c r="AZ75" i="1" s="1"/>
  <c r="BN75" i="1"/>
  <c r="BP75" i="1" s="1"/>
  <c r="BR70" i="1"/>
  <c r="BT70" i="1" s="1"/>
  <c r="CI70" i="1"/>
  <c r="CK70" i="1" s="1"/>
  <c r="CM70" i="1" s="1"/>
  <c r="N78" i="1"/>
  <c r="P78" i="1" s="1"/>
  <c r="BR73" i="1"/>
  <c r="BT73" i="1" s="1"/>
  <c r="Z78" i="1"/>
  <c r="AB78" i="1" s="1"/>
  <c r="BR65" i="1"/>
  <c r="BT65" i="1" s="1"/>
  <c r="CD78" i="1" l="1"/>
  <c r="CF78" i="1" s="1"/>
  <c r="BF65" i="1"/>
  <c r="BH65" i="1" s="1"/>
  <c r="AL65" i="1"/>
  <c r="AN65" i="1" s="1"/>
  <c r="R65" i="1"/>
  <c r="T65" i="1" s="1"/>
  <c r="BV65" i="1"/>
  <c r="BX65" i="1" s="1"/>
  <c r="AT65" i="1"/>
  <c r="AV65" i="1" s="1"/>
  <c r="CI65" i="1"/>
  <c r="CK65" i="1" s="1"/>
  <c r="CM65" i="1" s="1"/>
  <c r="BJ74" i="1"/>
  <c r="BL74" i="1" s="1"/>
  <c r="R74" i="1"/>
  <c r="T74" i="1" s="1"/>
  <c r="BR74" i="1"/>
  <c r="BT74" i="1" s="1"/>
  <c r="BB74" i="1"/>
  <c r="BD74" i="1" s="1"/>
  <c r="AH74" i="1"/>
  <c r="AJ74" i="1" s="1"/>
  <c r="AL74" i="1"/>
  <c r="AN74" i="1" s="1"/>
  <c r="BF74" i="1"/>
  <c r="BH74" i="1" s="1"/>
  <c r="Z74" i="1"/>
  <c r="AB74" i="1" s="1"/>
  <c r="AT74" i="1"/>
  <c r="AV74" i="1" s="1"/>
  <c r="CI74" i="1"/>
  <c r="CK74" i="1" s="1"/>
  <c r="CM74" i="1" s="1"/>
  <c r="BN74" i="1"/>
  <c r="BP74" i="1" s="1"/>
  <c r="AX74" i="1"/>
  <c r="AZ74" i="1" s="1"/>
  <c r="V74" i="1"/>
  <c r="X74" i="1" s="1"/>
  <c r="AP74" i="1"/>
  <c r="AR74" i="1" s="1"/>
  <c r="BV74" i="1"/>
  <c r="BX74" i="1" s="1"/>
  <c r="N74" i="1"/>
  <c r="AD74" i="1"/>
  <c r="AF74" i="1" s="1"/>
  <c r="L65" i="1"/>
  <c r="BZ65" i="1"/>
  <c r="CB65" i="1" s="1"/>
  <c r="P66" i="1"/>
  <c r="CB72" i="1"/>
  <c r="L72" i="1"/>
  <c r="BJ67" i="1"/>
  <c r="BL67" i="1" s="1"/>
  <c r="AX67" i="1"/>
  <c r="AZ67" i="1" s="1"/>
  <c r="V67" i="1"/>
  <c r="X67" i="1" s="1"/>
  <c r="BF67" i="1"/>
  <c r="BH67" i="1" s="1"/>
  <c r="BB67" i="1"/>
  <c r="BD67" i="1" s="1"/>
  <c r="AD67" i="1"/>
  <c r="AF67" i="1" s="1"/>
  <c r="AH67" i="1"/>
  <c r="AJ67" i="1" s="1"/>
  <c r="Z67" i="1"/>
  <c r="AB67" i="1" s="1"/>
  <c r="CI67" i="1"/>
  <c r="CK67" i="1" s="1"/>
  <c r="CM67" i="1" s="1"/>
  <c r="BN67" i="1"/>
  <c r="BP67" i="1" s="1"/>
  <c r="BV67" i="1"/>
  <c r="BX67" i="1" s="1"/>
  <c r="AP67" i="1"/>
  <c r="AR67" i="1" s="1"/>
  <c r="AL67" i="1"/>
  <c r="AN67" i="1" s="1"/>
  <c r="BR67" i="1"/>
  <c r="BT67" i="1" s="1"/>
  <c r="AT67" i="1"/>
  <c r="AV67" i="1" s="1"/>
  <c r="N67" i="1"/>
  <c r="R67" i="1"/>
  <c r="T67" i="1" s="1"/>
  <c r="BZ75" i="1"/>
  <c r="CB75" i="1" s="1"/>
  <c r="L75" i="1"/>
  <c r="BZ68" i="1"/>
  <c r="CB68" i="1" s="1"/>
  <c r="L68" i="1"/>
  <c r="AP65" i="1"/>
  <c r="AX72" i="1"/>
  <c r="AZ72" i="1" s="1"/>
  <c r="AX65" i="1"/>
  <c r="V65" i="1"/>
  <c r="N65" i="1"/>
  <c r="Z65" i="1"/>
  <c r="N73" i="1"/>
  <c r="CI78" i="1"/>
  <c r="CK78" i="1" s="1"/>
  <c r="CM78" i="1" s="1"/>
  <c r="AP68" i="1"/>
  <c r="AR68" i="1" s="1"/>
  <c r="AD69" i="1"/>
  <c r="AF69" i="1" s="1"/>
  <c r="BN69" i="1"/>
  <c r="BP69" i="1" s="1"/>
  <c r="BF69" i="1"/>
  <c r="BH69" i="1" s="1"/>
  <c r="CI69" i="1"/>
  <c r="CK69" i="1" s="1"/>
  <c r="CM69" i="1" s="1"/>
  <c r="Z69" i="1"/>
  <c r="AB69" i="1" s="1"/>
  <c r="AH69" i="1"/>
  <c r="AJ69" i="1" s="1"/>
  <c r="AP69" i="1"/>
  <c r="AR69" i="1" s="1"/>
  <c r="AX69" i="1"/>
  <c r="AZ69" i="1" s="1"/>
  <c r="R69" i="1"/>
  <c r="T69" i="1" s="1"/>
  <c r="N69" i="1"/>
  <c r="Z66" i="1"/>
  <c r="AB66" i="1" s="1"/>
  <c r="N70" i="1"/>
  <c r="L73" i="1"/>
  <c r="AL69" i="1"/>
  <c r="AN69" i="1" s="1"/>
  <c r="BV70" i="1"/>
  <c r="BX70" i="1" s="1"/>
  <c r="AP78" i="1"/>
  <c r="AR78" i="1" s="1"/>
  <c r="BF73" i="1"/>
  <c r="BH73" i="1" s="1"/>
  <c r="BR69" i="1"/>
  <c r="BT69" i="1" s="1"/>
  <c r="BR68" i="1"/>
  <c r="BT68" i="1" s="1"/>
  <c r="V68" i="1"/>
  <c r="X68" i="1" s="1"/>
  <c r="AX68" i="1"/>
  <c r="AZ68" i="1" s="1"/>
  <c r="CI68" i="1"/>
  <c r="CK68" i="1" s="1"/>
  <c r="CM68" i="1" s="1"/>
  <c r="BF68" i="1"/>
  <c r="BH68" i="1" s="1"/>
  <c r="BJ68" i="1"/>
  <c r="BL68" i="1" s="1"/>
  <c r="BN68" i="1"/>
  <c r="BP68" i="1" s="1"/>
  <c r="BB68" i="1"/>
  <c r="BD68" i="1" s="1"/>
  <c r="AL68" i="1"/>
  <c r="AN68" i="1" s="1"/>
  <c r="R68" i="1"/>
  <c r="T68" i="1" s="1"/>
  <c r="V73" i="1"/>
  <c r="X73" i="1" s="1"/>
  <c r="BJ66" i="1"/>
  <c r="BL66" i="1" s="1"/>
  <c r="BB66" i="1"/>
  <c r="BD66" i="1" s="1"/>
  <c r="AD66" i="1"/>
  <c r="AF66" i="1" s="1"/>
  <c r="CI66" i="1"/>
  <c r="CK66" i="1" s="1"/>
  <c r="CM66" i="1" s="1"/>
  <c r="BF66" i="1"/>
  <c r="BH66" i="1" s="1"/>
  <c r="AX66" i="1"/>
  <c r="AZ66" i="1" s="1"/>
  <c r="V66" i="1"/>
  <c r="X66" i="1" s="1"/>
  <c r="BR66" i="1"/>
  <c r="BT66" i="1" s="1"/>
  <c r="BV66" i="1"/>
  <c r="BX66" i="1" s="1"/>
  <c r="R66" i="1"/>
  <c r="AH66" i="1"/>
  <c r="AJ66" i="1" s="1"/>
  <c r="AD68" i="1"/>
  <c r="AF68" i="1" s="1"/>
  <c r="BV72" i="1"/>
  <c r="BX72" i="1" s="1"/>
  <c r="CI73" i="1"/>
  <c r="CK73" i="1" s="1"/>
  <c r="CM73" i="1" s="1"/>
  <c r="V72" i="1"/>
  <c r="X72" i="1" s="1"/>
  <c r="CI75" i="1"/>
  <c r="CK75" i="1" s="1"/>
  <c r="CM75" i="1" s="1"/>
  <c r="R73" i="1"/>
  <c r="T73" i="1" s="1"/>
  <c r="BV69" i="1"/>
  <c r="BX69" i="1" s="1"/>
  <c r="Z75" i="1"/>
  <c r="AB75" i="1" s="1"/>
  <c r="AT75" i="1"/>
  <c r="AV75" i="1" s="1"/>
  <c r="BJ72" i="1"/>
  <c r="BL72" i="1" s="1"/>
  <c r="AL72" i="1"/>
  <c r="AN72" i="1" s="1"/>
  <c r="CI72" i="1"/>
  <c r="CK72" i="1" s="1"/>
  <c r="CM72" i="1" s="1"/>
  <c r="N72" i="1"/>
  <c r="BR72" i="1"/>
  <c r="BT72" i="1" s="1"/>
  <c r="BB72" i="1"/>
  <c r="BD72" i="1" s="1"/>
  <c r="AT72" i="1"/>
  <c r="AV72" i="1" s="1"/>
  <c r="AP72" i="1"/>
  <c r="AR72" i="1" s="1"/>
  <c r="BF72" i="1"/>
  <c r="BH72" i="1" s="1"/>
  <c r="Z72" i="1"/>
  <c r="AB72" i="1" s="1"/>
  <c r="AH73" i="1"/>
  <c r="AJ73" i="1" s="1"/>
  <c r="AL73" i="1"/>
  <c r="AN73" i="1" s="1"/>
  <c r="BB73" i="1"/>
  <c r="BD73" i="1" s="1"/>
  <c r="BV73" i="1"/>
  <c r="BX73" i="1" s="1"/>
  <c r="BN73" i="1"/>
  <c r="BP73" i="1" s="1"/>
  <c r="BJ73" i="1"/>
  <c r="BL73" i="1" s="1"/>
  <c r="AX73" i="1"/>
  <c r="AZ73" i="1" s="1"/>
  <c r="AT73" i="1"/>
  <c r="AV73" i="1" s="1"/>
  <c r="AD73" i="1"/>
  <c r="AF73" i="1" s="1"/>
  <c r="AH65" i="1"/>
  <c r="BB65" i="1"/>
  <c r="BJ65" i="1"/>
  <c r="AD65" i="1"/>
  <c r="AD78" i="1"/>
  <c r="AF78" i="1" s="1"/>
  <c r="AH78" i="1"/>
  <c r="AJ78" i="1" s="1"/>
  <c r="BR78" i="1"/>
  <c r="BT78" i="1" s="1"/>
  <c r="BN78" i="1"/>
  <c r="BP78" i="1" s="1"/>
  <c r="BJ78" i="1"/>
  <c r="BL78" i="1" s="1"/>
  <c r="R78" i="1"/>
  <c r="T78" i="1" s="1"/>
  <c r="BB70" i="1"/>
  <c r="BD70" i="1" s="1"/>
  <c r="R70" i="1"/>
  <c r="T70" i="1" s="1"/>
  <c r="AT70" i="1"/>
  <c r="AV70" i="1" s="1"/>
  <c r="BJ70" i="1"/>
  <c r="BL70" i="1" s="1"/>
  <c r="AL70" i="1"/>
  <c r="AN70" i="1" s="1"/>
  <c r="AH70" i="1"/>
  <c r="AJ70" i="1" s="1"/>
  <c r="BF70" i="1"/>
  <c r="BH70" i="1" s="1"/>
  <c r="BB75" i="1"/>
  <c r="BD75" i="1" s="1"/>
  <c r="BJ75" i="1"/>
  <c r="BL75" i="1" s="1"/>
  <c r="BV75" i="1"/>
  <c r="BX75" i="1" s="1"/>
  <c r="AP75" i="1"/>
  <c r="AR75" i="1" s="1"/>
  <c r="AL75" i="1"/>
  <c r="AN75" i="1" s="1"/>
  <c r="AD75" i="1"/>
  <c r="AF75" i="1" s="1"/>
  <c r="AH75" i="1"/>
  <c r="AJ75" i="1" s="1"/>
  <c r="V75" i="1"/>
  <c r="X75" i="1" s="1"/>
  <c r="BR75" i="1"/>
  <c r="BT75" i="1" s="1"/>
  <c r="AX78" i="1"/>
  <c r="AZ78" i="1" s="1"/>
  <c r="AD70" i="1"/>
  <c r="AF70" i="1" s="1"/>
  <c r="BN65" i="1"/>
  <c r="BP65" i="1" s="1"/>
  <c r="N68" i="1"/>
  <c r="N75" i="1"/>
  <c r="AL66" i="1"/>
  <c r="AN66" i="1" s="1"/>
  <c r="Z68" i="1"/>
  <c r="AB68" i="1" s="1"/>
  <c r="AD72" i="1"/>
  <c r="AF72" i="1" s="1"/>
  <c r="V70" i="1"/>
  <c r="X70" i="1" s="1"/>
  <c r="AL78" i="1"/>
  <c r="AN78" i="1" s="1"/>
  <c r="BV68" i="1"/>
  <c r="BX68" i="1" s="1"/>
  <c r="BF75" i="1"/>
  <c r="BH75" i="1" s="1"/>
  <c r="AH72" i="1"/>
  <c r="AJ72" i="1" s="1"/>
  <c r="BN70" i="1"/>
  <c r="BP70" i="1" s="1"/>
  <c r="BJ69" i="1"/>
  <c r="BL69" i="1" s="1"/>
  <c r="CD70" i="1" l="1"/>
  <c r="CF70" i="1" s="1"/>
  <c r="P70" i="1"/>
  <c r="AB65" i="1"/>
  <c r="BZ67" i="1"/>
  <c r="CB67" i="1" s="1"/>
  <c r="L67" i="1"/>
  <c r="BD65" i="1"/>
  <c r="L66" i="1"/>
  <c r="BZ66" i="1"/>
  <c r="CB66" i="1" s="1"/>
  <c r="T66" i="1"/>
  <c r="CD65" i="1"/>
  <c r="CF65" i="1" s="1"/>
  <c r="P65" i="1"/>
  <c r="AR65" i="1"/>
  <c r="CD74" i="1"/>
  <c r="CF74" i="1" s="1"/>
  <c r="P74" i="1"/>
  <c r="L74" i="1"/>
  <c r="CB74" i="1"/>
  <c r="BZ70" i="1"/>
  <c r="CB70" i="1" s="1"/>
  <c r="L70" i="1"/>
  <c r="BZ78" i="1"/>
  <c r="CB78" i="1" s="1"/>
  <c r="L78" i="1"/>
  <c r="CD75" i="1"/>
  <c r="CF75" i="1" s="1"/>
  <c r="P75" i="1"/>
  <c r="AJ65" i="1"/>
  <c r="P72" i="1"/>
  <c r="CD72" i="1"/>
  <c r="CF72" i="1" s="1"/>
  <c r="L69" i="1"/>
  <c r="BZ69" i="1"/>
  <c r="CB69" i="1" s="1"/>
  <c r="X65" i="1"/>
  <c r="BL65" i="1"/>
  <c r="CD68" i="1"/>
  <c r="CF68" i="1" s="1"/>
  <c r="P68" i="1"/>
  <c r="AF65" i="1"/>
  <c r="CD69" i="1"/>
  <c r="CF69" i="1" s="1"/>
  <c r="P69" i="1"/>
  <c r="CD73" i="1"/>
  <c r="CF73" i="1" s="1"/>
  <c r="P73" i="1"/>
  <c r="AZ65" i="1"/>
  <c r="CD67" i="1"/>
  <c r="CF67" i="1" s="1"/>
  <c r="P67" i="1"/>
  <c r="BF24" i="1"/>
  <c r="BH24" i="1" s="1"/>
  <c r="AX24" i="1"/>
  <c r="AZ24" i="1" s="1"/>
  <c r="AH24" i="1"/>
  <c r="AJ24" i="1" s="1"/>
  <c r="AL24" i="1"/>
  <c r="AN24" i="1" s="1"/>
  <c r="BB24" i="1"/>
  <c r="BD24" i="1" s="1"/>
  <c r="BF18" i="1"/>
  <c r="BH18" i="1" s="1"/>
  <c r="Z18" i="1"/>
  <c r="AB18" i="1" s="1"/>
  <c r="BB18" i="1"/>
  <c r="BD18" i="1" s="1"/>
  <c r="AT18" i="1"/>
  <c r="AV18" i="1" s="1"/>
  <c r="AP18" i="1"/>
  <c r="AR18" i="1" s="1"/>
  <c r="V18" i="1"/>
  <c r="X18" i="1" s="1"/>
  <c r="V22" i="1"/>
  <c r="X22" i="1" s="1"/>
  <c r="BF22" i="1"/>
  <c r="BH22" i="1" s="1"/>
  <c r="CK19" i="1"/>
  <c r="CM19" i="1" s="1"/>
  <c r="AX19" i="1"/>
  <c r="AZ19" i="1" s="1"/>
  <c r="BF19" i="1"/>
  <c r="BH19" i="1" s="1"/>
  <c r="AD19" i="1"/>
  <c r="AF19" i="1" s="1"/>
  <c r="AL23" i="1"/>
  <c r="AN23" i="1" s="1"/>
  <c r="AD23" i="1"/>
  <c r="AF23" i="1" s="1"/>
  <c r="AX20" i="1"/>
  <c r="AZ20" i="1" s="1"/>
  <c r="V20" i="1"/>
  <c r="X20" i="1" s="1"/>
  <c r="AH20" i="1"/>
  <c r="AJ20" i="1" s="1"/>
  <c r="AT20" i="1"/>
  <c r="AV20" i="1" s="1"/>
  <c r="V16" i="1"/>
  <c r="X16" i="1" s="1"/>
  <c r="CI32" i="1"/>
  <c r="CK32" i="1" s="1"/>
  <c r="CM32" i="1" s="1"/>
  <c r="R21" i="1"/>
  <c r="T21" i="1" s="1"/>
  <c r="BV21" i="1"/>
  <c r="BX21" i="1" s="1"/>
  <c r="BF21" i="1"/>
  <c r="BH21" i="1" s="1"/>
  <c r="BB21" i="1"/>
  <c r="BD21" i="1" s="1"/>
  <c r="AP21" i="1"/>
  <c r="AR21" i="1" s="1"/>
  <c r="AT21" i="1"/>
  <c r="AV21" i="1" s="1"/>
  <c r="BR21" i="1"/>
  <c r="BT21" i="1" s="1"/>
  <c r="AD24" i="1"/>
  <c r="AF24" i="1" s="1"/>
  <c r="BV24" i="1"/>
  <c r="BX24" i="1" s="1"/>
  <c r="CK18" i="1"/>
  <c r="CM18" i="1" s="1"/>
  <c r="AL18" i="1"/>
  <c r="AN18" i="1" s="1"/>
  <c r="AP22" i="1"/>
  <c r="AR22" i="1" s="1"/>
  <c r="AL22" i="1"/>
  <c r="AN22" i="1" s="1"/>
  <c r="BJ19" i="1"/>
  <c r="BL19" i="1" s="1"/>
  <c r="V19" i="1"/>
  <c r="X19" i="1" s="1"/>
  <c r="Z19" i="1"/>
  <c r="AB19" i="1" s="1"/>
  <c r="AP19" i="1"/>
  <c r="AR19" i="1" s="1"/>
  <c r="Z23" i="1"/>
  <c r="AB23" i="1" s="1"/>
  <c r="V23" i="1"/>
  <c r="X23" i="1" s="1"/>
  <c r="BV23" i="1"/>
  <c r="BX23" i="1" s="1"/>
  <c r="BN20" i="1"/>
  <c r="BP20" i="1" s="1"/>
  <c r="BB20" i="1"/>
  <c r="BD20" i="1" s="1"/>
  <c r="AP20" i="1"/>
  <c r="AR20" i="1" s="1"/>
  <c r="R20" i="1"/>
  <c r="T20" i="1" s="1"/>
  <c r="R16" i="1"/>
  <c r="T16" i="1" s="1"/>
  <c r="BB37" i="1"/>
  <c r="BD37" i="1" s="1"/>
  <c r="Z34" i="1"/>
  <c r="AB34" i="1" s="1"/>
  <c r="R53" i="1"/>
  <c r="T53" i="1" s="1"/>
  <c r="AX37" i="1"/>
  <c r="AZ37" i="1" s="1"/>
  <c r="AP16" i="1"/>
  <c r="AR16" i="1" s="1"/>
  <c r="BJ16" i="1"/>
  <c r="BL16" i="1" s="1"/>
  <c r="AP24" i="1"/>
  <c r="AR24" i="1" s="1"/>
  <c r="Z24" i="1"/>
  <c r="AB24" i="1" s="1"/>
  <c r="BN24" i="1"/>
  <c r="BP24" i="1" s="1"/>
  <c r="BJ24" i="1"/>
  <c r="BL24" i="1" s="1"/>
  <c r="V24" i="1"/>
  <c r="X24" i="1" s="1"/>
  <c r="R18" i="1"/>
  <c r="T18" i="1" s="1"/>
  <c r="AD18" i="1"/>
  <c r="AF18" i="1" s="1"/>
  <c r="BN18" i="1"/>
  <c r="BP18" i="1" s="1"/>
  <c r="BR18" i="1"/>
  <c r="BT18" i="1" s="1"/>
  <c r="AX18" i="1"/>
  <c r="AZ18" i="1" s="1"/>
  <c r="AH18" i="1"/>
  <c r="AJ18" i="1" s="1"/>
  <c r="AX22" i="1"/>
  <c r="AZ22" i="1" s="1"/>
  <c r="R22" i="1"/>
  <c r="T22" i="1" s="1"/>
  <c r="BJ22" i="1"/>
  <c r="BL22" i="1" s="1"/>
  <c r="BV19" i="1"/>
  <c r="BX19" i="1" s="1"/>
  <c r="BB19" i="1"/>
  <c r="BD19" i="1" s="1"/>
  <c r="R19" i="1"/>
  <c r="T19" i="1" s="1"/>
  <c r="BN19" i="1"/>
  <c r="BP19" i="1" s="1"/>
  <c r="BR23" i="1"/>
  <c r="BT23" i="1" s="1"/>
  <c r="BB23" i="1"/>
  <c r="BD23" i="1" s="1"/>
  <c r="BV20" i="1"/>
  <c r="BX20" i="1" s="1"/>
  <c r="Z20" i="1"/>
  <c r="AB20" i="1" s="1"/>
  <c r="BF20" i="1"/>
  <c r="BH20" i="1" s="1"/>
  <c r="BJ20" i="1"/>
  <c r="BL20" i="1" s="1"/>
  <c r="BF16" i="1"/>
  <c r="BH16" i="1" s="1"/>
  <c r="R35" i="1"/>
  <c r="T35" i="1" s="1"/>
  <c r="AT39" i="1"/>
  <c r="AV39" i="1" s="1"/>
  <c r="AT40" i="1"/>
  <c r="AV40" i="1" s="1"/>
  <c r="AX16" i="1"/>
  <c r="AZ16" i="1" s="1"/>
  <c r="CK16" i="1"/>
  <c r="CM16" i="1" s="1"/>
  <c r="AL21" i="1"/>
  <c r="AN21" i="1" s="1"/>
  <c r="Z21" i="1"/>
  <c r="AB21" i="1" s="1"/>
  <c r="AD21" i="1"/>
  <c r="AF21" i="1" s="1"/>
  <c r="V21" i="1"/>
  <c r="X21" i="1" s="1"/>
  <c r="BJ21" i="1"/>
  <c r="BL21" i="1" s="1"/>
  <c r="AX21" i="1"/>
  <c r="AZ21" i="1" s="1"/>
  <c r="BN21" i="1"/>
  <c r="BP21" i="1" s="1"/>
  <c r="AH21" i="1"/>
  <c r="AJ21" i="1" s="1"/>
  <c r="AT24" i="1"/>
  <c r="AV24" i="1" s="1"/>
  <c r="R24" i="1"/>
  <c r="T24" i="1" s="1"/>
  <c r="BR24" i="1"/>
  <c r="BT24" i="1" s="1"/>
  <c r="BJ18" i="1"/>
  <c r="BL18" i="1" s="1"/>
  <c r="BV18" i="1"/>
  <c r="BX18" i="1" s="1"/>
  <c r="BN22" i="1"/>
  <c r="BP22" i="1" s="1"/>
  <c r="AD22" i="1"/>
  <c r="AF22" i="1" s="1"/>
  <c r="AT22" i="1"/>
  <c r="AV22" i="1" s="1"/>
  <c r="AL19" i="1"/>
  <c r="AN19" i="1" s="1"/>
  <c r="AH19" i="1"/>
  <c r="AJ19" i="1" s="1"/>
  <c r="AT19" i="1"/>
  <c r="AV19" i="1" s="1"/>
  <c r="BR19" i="1"/>
  <c r="BT19" i="1" s="1"/>
  <c r="AT23" i="1"/>
  <c r="AV23" i="1" s="1"/>
  <c r="BN23" i="1"/>
  <c r="BP23" i="1" s="1"/>
  <c r="CK20" i="1"/>
  <c r="CM20" i="1" s="1"/>
  <c r="BR20" i="1"/>
  <c r="BT20" i="1" s="1"/>
  <c r="AL20" i="1"/>
  <c r="AN20" i="1" s="1"/>
  <c r="AD20" i="1"/>
  <c r="AF20" i="1" s="1"/>
  <c r="AT16" i="1"/>
  <c r="AV16" i="1" s="1"/>
  <c r="AH34" i="1"/>
  <c r="AJ34" i="1" s="1"/>
  <c r="AX51" i="1"/>
  <c r="AZ51" i="1" s="1"/>
  <c r="BR22" i="1"/>
  <c r="BT22" i="1" s="1"/>
  <c r="AH22" i="1"/>
  <c r="AJ22" i="1" s="1"/>
  <c r="BV22" i="1"/>
  <c r="BX22" i="1" s="1"/>
  <c r="R23" i="1"/>
  <c r="T23" i="1" s="1"/>
  <c r="BJ23" i="1"/>
  <c r="BL23" i="1" s="1"/>
  <c r="AH23" i="1"/>
  <c r="AJ23" i="1" s="1"/>
  <c r="J20" i="1"/>
  <c r="L20" i="1" s="1"/>
  <c r="N24" i="1"/>
  <c r="P24" i="1" s="1"/>
  <c r="J23" i="1"/>
  <c r="J24" i="1"/>
  <c r="L24" i="1" s="1"/>
  <c r="AT30" i="1"/>
  <c r="AV30" i="1" s="1"/>
  <c r="R49" i="1"/>
  <c r="T49" i="1" s="1"/>
  <c r="V32" i="1"/>
  <c r="X32" i="1" s="1"/>
  <c r="N16" i="1"/>
  <c r="P16" i="1" s="1"/>
  <c r="AT37" i="1"/>
  <c r="AV37" i="1" s="1"/>
  <c r="BB16" i="1"/>
  <c r="BD16" i="1" s="1"/>
  <c r="J19" i="1"/>
  <c r="L19" i="1" s="1"/>
  <c r="CI51" i="1"/>
  <c r="CK51" i="1" s="1"/>
  <c r="CM51" i="1" s="1"/>
  <c r="BB35" i="1"/>
  <c r="BD35" i="1" s="1"/>
  <c r="CI47" i="1"/>
  <c r="CK47" i="1" s="1"/>
  <c r="CM47" i="1" s="1"/>
  <c r="Z53" i="1"/>
  <c r="AB53" i="1" s="1"/>
  <c r="AH39" i="1"/>
  <c r="AJ39" i="1" s="1"/>
  <c r="Z39" i="1"/>
  <c r="AB39" i="1" s="1"/>
  <c r="AH47" i="1"/>
  <c r="AJ47" i="1" s="1"/>
  <c r="AD50" i="1"/>
  <c r="AF50" i="1" s="1"/>
  <c r="AX35" i="1"/>
  <c r="AZ35" i="1" s="1"/>
  <c r="AL45" i="1"/>
  <c r="AN45" i="1" s="1"/>
  <c r="BR49" i="1"/>
  <c r="BT49" i="1" s="1"/>
  <c r="BB53" i="1"/>
  <c r="BD53" i="1" s="1"/>
  <c r="AL50" i="1"/>
  <c r="AN50" i="1" s="1"/>
  <c r="BR52" i="1"/>
  <c r="BT52" i="1" s="1"/>
  <c r="AT51" i="1"/>
  <c r="AV51" i="1" s="1"/>
  <c r="BB52" i="1"/>
  <c r="BD52" i="1" s="1"/>
  <c r="AH51" i="1"/>
  <c r="AJ51" i="1" s="1"/>
  <c r="AD52" i="1"/>
  <c r="AF52" i="1" s="1"/>
  <c r="CI34" i="1"/>
  <c r="CK34" i="1" s="1"/>
  <c r="CM34" i="1" s="1"/>
  <c r="BV52" i="1"/>
  <c r="BX52" i="1" s="1"/>
  <c r="R32" i="1"/>
  <c r="T32" i="1" s="1"/>
  <c r="CI49" i="1"/>
  <c r="CK49" i="1" s="1"/>
  <c r="CM49" i="1" s="1"/>
  <c r="AL36" i="1"/>
  <c r="AN36" i="1" s="1"/>
  <c r="AT49" i="1"/>
  <c r="AV49" i="1" s="1"/>
  <c r="V51" i="1"/>
  <c r="X51" i="1" s="1"/>
  <c r="CK22" i="1"/>
  <c r="CM22" i="1" s="1"/>
  <c r="Z22" i="1"/>
  <c r="AB22" i="1" s="1"/>
  <c r="BB22" i="1"/>
  <c r="BD22" i="1" s="1"/>
  <c r="CK23" i="1"/>
  <c r="CM23" i="1" s="1"/>
  <c r="BF23" i="1"/>
  <c r="BH23" i="1" s="1"/>
  <c r="AX23" i="1"/>
  <c r="AZ23" i="1" s="1"/>
  <c r="AP23" i="1"/>
  <c r="AR23" i="1" s="1"/>
  <c r="N18" i="1"/>
  <c r="P18" i="1" s="1"/>
  <c r="J21" i="1"/>
  <c r="BZ21" i="1" s="1"/>
  <c r="CB21" i="1" s="1"/>
  <c r="N19" i="1"/>
  <c r="CD19" i="1" s="1"/>
  <c r="CF19" i="1" s="1"/>
  <c r="N22" i="1"/>
  <c r="CD22" i="1" s="1"/>
  <c r="CF22" i="1" s="1"/>
  <c r="J18" i="1"/>
  <c r="L18" i="1" s="1"/>
  <c r="N47" i="1"/>
  <c r="P47" i="1" s="1"/>
  <c r="BZ16" i="1"/>
  <c r="CB16" i="1" s="1"/>
  <c r="BB32" i="1"/>
  <c r="BD32" i="1" s="1"/>
  <c r="AX30" i="1"/>
  <c r="AZ30" i="1" s="1"/>
  <c r="CI52" i="1"/>
  <c r="CK52" i="1" s="1"/>
  <c r="CM52" i="1" s="1"/>
  <c r="BV30" i="1"/>
  <c r="BX30" i="1" s="1"/>
  <c r="AD16" i="1"/>
  <c r="AF16" i="1" s="1"/>
  <c r="CK30" i="1"/>
  <c r="CM30" i="1" s="1"/>
  <c r="N20" i="1"/>
  <c r="CD20" i="1" s="1"/>
  <c r="CF20" i="1" s="1"/>
  <c r="AL16" i="1"/>
  <c r="AN16" i="1" s="1"/>
  <c r="N21" i="1"/>
  <c r="CD21" i="1" s="1"/>
  <c r="CF21" i="1" s="1"/>
  <c r="BB51" i="1"/>
  <c r="BD51" i="1" s="1"/>
  <c r="Z16" i="1"/>
  <c r="AB16" i="1" s="1"/>
  <c r="BR16" i="1"/>
  <c r="BT16" i="1" s="1"/>
  <c r="N37" i="1"/>
  <c r="P37" i="1" s="1"/>
  <c r="N38" i="1"/>
  <c r="CD38" i="1" s="1"/>
  <c r="CF38" i="1" s="1"/>
  <c r="AT35" i="1"/>
  <c r="AV35" i="1" s="1"/>
  <c r="R37" i="1"/>
  <c r="T37" i="1" s="1"/>
  <c r="N49" i="1"/>
  <c r="P49" i="1" s="1"/>
  <c r="CI50" i="1"/>
  <c r="CK50" i="1" s="1"/>
  <c r="CM50" i="1" s="1"/>
  <c r="N35" i="1"/>
  <c r="N53" i="1"/>
  <c r="CD53" i="1" s="1"/>
  <c r="CF53" i="1" s="1"/>
  <c r="AX50" i="1"/>
  <c r="AZ50" i="1" s="1"/>
  <c r="BB50" i="1"/>
  <c r="BD50" i="1" s="1"/>
  <c r="V39" i="1"/>
  <c r="X39" i="1" s="1"/>
  <c r="AT45" i="1"/>
  <c r="AV45" i="1" s="1"/>
  <c r="Z40" i="1"/>
  <c r="AB40" i="1" s="1"/>
  <c r="R50" i="1"/>
  <c r="T50" i="1" s="1"/>
  <c r="AT32" i="1"/>
  <c r="AV32" i="1" s="1"/>
  <c r="AX40" i="1"/>
  <c r="AZ40" i="1" s="1"/>
  <c r="AL35" i="1"/>
  <c r="AN35" i="1" s="1"/>
  <c r="AP47" i="1"/>
  <c r="AR47" i="1" s="1"/>
  <c r="BJ39" i="1"/>
  <c r="BL39" i="1" s="1"/>
  <c r="BR37" i="1"/>
  <c r="BT37" i="1" s="1"/>
  <c r="AP51" i="1"/>
  <c r="AR51" i="1" s="1"/>
  <c r="AL32" i="1"/>
  <c r="AN32" i="1" s="1"/>
  <c r="N36" i="1"/>
  <c r="CD36" i="1" s="1"/>
  <c r="CF36" i="1" s="1"/>
  <c r="N52" i="1"/>
  <c r="CD52" i="1" s="1"/>
  <c r="CF52" i="1" s="1"/>
  <c r="R38" i="1"/>
  <c r="T38" i="1" s="1"/>
  <c r="J22" i="1"/>
  <c r="BZ22" i="1" s="1"/>
  <c r="CB22" i="1" s="1"/>
  <c r="N23" i="1"/>
  <c r="AH16" i="1"/>
  <c r="AJ16" i="1" s="1"/>
  <c r="AX34" i="1"/>
  <c r="AZ34" i="1" s="1"/>
  <c r="AD37" i="1"/>
  <c r="AF37" i="1" s="1"/>
  <c r="Z47" i="1"/>
  <c r="AB47" i="1" s="1"/>
  <c r="R34" i="1"/>
  <c r="T34" i="1" s="1"/>
  <c r="J30" i="1"/>
  <c r="BV16" i="1"/>
  <c r="BX16" i="1" s="1"/>
  <c r="BV37" i="1"/>
  <c r="BX37" i="1" s="1"/>
  <c r="BB39" i="1"/>
  <c r="BD39" i="1" s="1"/>
  <c r="AD32" i="1"/>
  <c r="AF32" i="1" s="1"/>
  <c r="R40" i="1"/>
  <c r="T40" i="1" s="1"/>
  <c r="AL34" i="1"/>
  <c r="AN34" i="1" s="1"/>
  <c r="R36" i="1"/>
  <c r="T36" i="1" s="1"/>
  <c r="V52" i="1"/>
  <c r="X52" i="1" s="1"/>
  <c r="BN52" i="1"/>
  <c r="BP52" i="1" s="1"/>
  <c r="BV36" i="1"/>
  <c r="BX36" i="1" s="1"/>
  <c r="CI38" i="1"/>
  <c r="CK38" i="1" s="1"/>
  <c r="CM38" i="1" s="1"/>
  <c r="AD39" i="1"/>
  <c r="AF39" i="1" s="1"/>
  <c r="CI37" i="1"/>
  <c r="CK37" i="1" s="1"/>
  <c r="J39" i="1"/>
  <c r="BZ39" i="1" s="1"/>
  <c r="CB39" i="1" s="1"/>
  <c r="BN16" i="1"/>
  <c r="BP16" i="1" s="1"/>
  <c r="R30" i="1"/>
  <c r="T30" i="1" s="1"/>
  <c r="CI45" i="1"/>
  <c r="CK45" i="1" s="1"/>
  <c r="CM45" i="1" s="1"/>
  <c r="CK21" i="1"/>
  <c r="Z52" i="1"/>
  <c r="AB52" i="1" s="1"/>
  <c r="AP39" i="1"/>
  <c r="AR39" i="1" s="1"/>
  <c r="AD35" i="1"/>
  <c r="AF35" i="1" s="1"/>
  <c r="AD47" i="1"/>
  <c r="AF47" i="1" s="1"/>
  <c r="Z45" i="1"/>
  <c r="AB45" i="1" s="1"/>
  <c r="Z50" i="1"/>
  <c r="AB50" i="1" s="1"/>
  <c r="V37" i="1"/>
  <c r="X37" i="1" s="1"/>
  <c r="AD51" i="1"/>
  <c r="AF51" i="1" s="1"/>
  <c r="AP38" i="1"/>
  <c r="AR38" i="1" s="1"/>
  <c r="Z38" i="1"/>
  <c r="AB38" i="1" s="1"/>
  <c r="N45" i="1"/>
  <c r="P45" i="1" s="1"/>
  <c r="AL30" i="1"/>
  <c r="AN30" i="1" s="1"/>
  <c r="AX45" i="1"/>
  <c r="AZ45" i="1" s="1"/>
  <c r="V47" i="1"/>
  <c r="X47" i="1" s="1"/>
  <c r="BB36" i="1"/>
  <c r="BD36" i="1" s="1"/>
  <c r="AH38" i="1"/>
  <c r="AJ38" i="1" s="1"/>
  <c r="AX47" i="1"/>
  <c r="AZ47" i="1" s="1"/>
  <c r="BF52" i="1"/>
  <c r="BH52" i="1" s="1"/>
  <c r="BF50" i="1"/>
  <c r="BH50" i="1" s="1"/>
  <c r="V40" i="1"/>
  <c r="X40" i="1" s="1"/>
  <c r="BF35" i="1"/>
  <c r="BH35" i="1" s="1"/>
  <c r="BV14" i="1"/>
  <c r="BX14" i="1" s="1"/>
  <c r="N30" i="1"/>
  <c r="CD30" i="1" s="1"/>
  <c r="J51" i="1"/>
  <c r="L51" i="1" s="1"/>
  <c r="R51" i="1"/>
  <c r="T51" i="1" s="1"/>
  <c r="V36" i="1"/>
  <c r="X36" i="1" s="1"/>
  <c r="J49" i="1"/>
  <c r="BZ49" i="1" s="1"/>
  <c r="CB49" i="1" s="1"/>
  <c r="V34" i="1"/>
  <c r="X34" i="1" s="1"/>
  <c r="N50" i="1"/>
  <c r="P50" i="1" s="1"/>
  <c r="Z49" i="1"/>
  <c r="AB49" i="1" s="1"/>
  <c r="BR53" i="1"/>
  <c r="BT53" i="1" s="1"/>
  <c r="BF39" i="1"/>
  <c r="BH39" i="1" s="1"/>
  <c r="V53" i="1"/>
  <c r="X53" i="1" s="1"/>
  <c r="CI39" i="1"/>
  <c r="CK39" i="1" s="1"/>
  <c r="BV47" i="1"/>
  <c r="BX47" i="1" s="1"/>
  <c r="J37" i="1"/>
  <c r="BZ37" i="1" s="1"/>
  <c r="CB37" i="1" s="1"/>
  <c r="N39" i="1"/>
  <c r="CD39" i="1" s="1"/>
  <c r="CF39" i="1" s="1"/>
  <c r="AP45" i="1"/>
  <c r="AR45" i="1" s="1"/>
  <c r="AP37" i="1"/>
  <c r="AR37" i="1" s="1"/>
  <c r="AH40" i="1"/>
  <c r="AJ40" i="1" s="1"/>
  <c r="AX52" i="1"/>
  <c r="AZ52" i="1" s="1"/>
  <c r="BJ47" i="1"/>
  <c r="BL47" i="1" s="1"/>
  <c r="BR30" i="1"/>
  <c r="BT30" i="1" s="1"/>
  <c r="AL52" i="1"/>
  <c r="AN52" i="1" s="1"/>
  <c r="AP36" i="1"/>
  <c r="AR36" i="1" s="1"/>
  <c r="CI53" i="1"/>
  <c r="CK53" i="1" s="1"/>
  <c r="CM53" i="1" s="1"/>
  <c r="BF36" i="1"/>
  <c r="BH36" i="1" s="1"/>
  <c r="R45" i="1"/>
  <c r="T45" i="1" s="1"/>
  <c r="V30" i="1"/>
  <c r="X30" i="1" s="1"/>
  <c r="J40" i="1"/>
  <c r="BZ40" i="1" s="1"/>
  <c r="CB40" i="1" s="1"/>
  <c r="BV51" i="1"/>
  <c r="BX51" i="1" s="1"/>
  <c r="BN51" i="1"/>
  <c r="BP51" i="1" s="1"/>
  <c r="CI36" i="1"/>
  <c r="CK36" i="1" s="1"/>
  <c r="CM36" i="1" s="1"/>
  <c r="BN30" i="1"/>
  <c r="BP30" i="1" s="1"/>
  <c r="BB38" i="1"/>
  <c r="BD38" i="1" s="1"/>
  <c r="BV39" i="1"/>
  <c r="BX39" i="1" s="1"/>
  <c r="Z51" i="1"/>
  <c r="AB51" i="1" s="1"/>
  <c r="AX49" i="1"/>
  <c r="AZ49" i="1" s="1"/>
  <c r="AP35" i="1"/>
  <c r="AR35" i="1" s="1"/>
  <c r="AL39" i="1"/>
  <c r="AN39" i="1" s="1"/>
  <c r="AT47" i="1"/>
  <c r="AV47" i="1" s="1"/>
  <c r="J52" i="1"/>
  <c r="BN14" i="1"/>
  <c r="BP14" i="1" s="1"/>
  <c r="BF37" i="1"/>
  <c r="BH37" i="1" s="1"/>
  <c r="AH49" i="1"/>
  <c r="AJ49" i="1" s="1"/>
  <c r="BR47" i="1"/>
  <c r="BT47" i="1" s="1"/>
  <c r="AH36" i="1"/>
  <c r="AJ36" i="1" s="1"/>
  <c r="AP53" i="1"/>
  <c r="AR53" i="1" s="1"/>
  <c r="J45" i="1"/>
  <c r="L45" i="1" s="1"/>
  <c r="AD38" i="1"/>
  <c r="AF38" i="1" s="1"/>
  <c r="R52" i="1"/>
  <c r="T52" i="1" s="1"/>
  <c r="BF45" i="1"/>
  <c r="BH45" i="1" s="1"/>
  <c r="BJ50" i="1"/>
  <c r="BL50" i="1" s="1"/>
  <c r="AP50" i="1"/>
  <c r="AR50" i="1" s="1"/>
  <c r="BJ53" i="1"/>
  <c r="BL53" i="1" s="1"/>
  <c r="AH32" i="1"/>
  <c r="AJ32" i="1" s="1"/>
  <c r="AL51" i="1"/>
  <c r="AN51" i="1" s="1"/>
  <c r="CI35" i="1"/>
  <c r="CK35" i="1" s="1"/>
  <c r="BR51" i="1"/>
  <c r="BT51" i="1" s="1"/>
  <c r="BB47" i="1"/>
  <c r="BD47" i="1" s="1"/>
  <c r="BV40" i="1"/>
  <c r="BX40" i="1" s="1"/>
  <c r="BB49" i="1"/>
  <c r="BD49" i="1" s="1"/>
  <c r="BJ35" i="1"/>
  <c r="BL35" i="1" s="1"/>
  <c r="BJ38" i="1"/>
  <c r="BL38" i="1" s="1"/>
  <c r="BF47" i="1"/>
  <c r="BH47" i="1" s="1"/>
  <c r="AX39" i="1"/>
  <c r="AZ39" i="1" s="1"/>
  <c r="BJ30" i="1"/>
  <c r="BL30" i="1" s="1"/>
  <c r="BF40" i="1"/>
  <c r="BH40" i="1" s="1"/>
  <c r="AL14" i="1"/>
  <c r="AN14" i="1" s="1"/>
  <c r="Z14" i="1"/>
  <c r="AB14" i="1" s="1"/>
  <c r="BN45" i="1"/>
  <c r="BP45" i="1" s="1"/>
  <c r="AP52" i="1"/>
  <c r="AR52" i="1" s="1"/>
  <c r="AT34" i="1"/>
  <c r="AV34" i="1" s="1"/>
  <c r="AL40" i="1"/>
  <c r="AN40" i="1" s="1"/>
  <c r="N34" i="1"/>
  <c r="AL53" i="1"/>
  <c r="AN53" i="1" s="1"/>
  <c r="BR35" i="1"/>
  <c r="BT35" i="1" s="1"/>
  <c r="AT36" i="1"/>
  <c r="AV36" i="1" s="1"/>
  <c r="AL38" i="1"/>
  <c r="AN38" i="1" s="1"/>
  <c r="Z35" i="1"/>
  <c r="AB35" i="1" s="1"/>
  <c r="V49" i="1"/>
  <c r="X49" i="1" s="1"/>
  <c r="AH50" i="1"/>
  <c r="AJ50" i="1" s="1"/>
  <c r="AL47" i="1"/>
  <c r="AN47" i="1" s="1"/>
  <c r="BV35" i="1"/>
  <c r="BX35" i="1" s="1"/>
  <c r="N32" i="1"/>
  <c r="CD32" i="1" s="1"/>
  <c r="CF32" i="1" s="1"/>
  <c r="BV32" i="1"/>
  <c r="BX32" i="1" s="1"/>
  <c r="J47" i="1"/>
  <c r="L47" i="1" s="1"/>
  <c r="AL49" i="1"/>
  <c r="AN49" i="1" s="1"/>
  <c r="J38" i="1"/>
  <c r="AH45" i="1"/>
  <c r="AJ45" i="1" s="1"/>
  <c r="AP30" i="1"/>
  <c r="AR30" i="1" s="1"/>
  <c r="BR39" i="1"/>
  <c r="BT39" i="1" s="1"/>
  <c r="AP34" i="1"/>
  <c r="AR34" i="1" s="1"/>
  <c r="AD49" i="1"/>
  <c r="AF49" i="1" s="1"/>
  <c r="BN32" i="1"/>
  <c r="BP32" i="1" s="1"/>
  <c r="AD40" i="1"/>
  <c r="AF40" i="1" s="1"/>
  <c r="AH52" i="1"/>
  <c r="AJ52" i="1" s="1"/>
  <c r="BN35" i="1"/>
  <c r="BP35" i="1" s="1"/>
  <c r="BN34" i="1"/>
  <c r="BP34" i="1" s="1"/>
  <c r="AT50" i="1"/>
  <c r="AV50" i="1" s="1"/>
  <c r="J53" i="1"/>
  <c r="BZ53" i="1" s="1"/>
  <c r="CB53" i="1" s="1"/>
  <c r="J50" i="1"/>
  <c r="AT52" i="1"/>
  <c r="AV52" i="1" s="1"/>
  <c r="BN53" i="1"/>
  <c r="BP53" i="1" s="1"/>
  <c r="AD30" i="1"/>
  <c r="AF30" i="1" s="1"/>
  <c r="BV50" i="1"/>
  <c r="BX50" i="1" s="1"/>
  <c r="AH37" i="1"/>
  <c r="AJ37" i="1" s="1"/>
  <c r="BJ37" i="1"/>
  <c r="BL37" i="1" s="1"/>
  <c r="AH35" i="1"/>
  <c r="AJ35" i="1" s="1"/>
  <c r="V38" i="1"/>
  <c r="X38" i="1" s="1"/>
  <c r="CI40" i="1"/>
  <c r="CK40" i="1" s="1"/>
  <c r="CM40" i="1" s="1"/>
  <c r="BF38" i="1"/>
  <c r="BH38" i="1" s="1"/>
  <c r="BF34" i="1"/>
  <c r="BH34" i="1" s="1"/>
  <c r="BR50" i="1"/>
  <c r="BT50" i="1" s="1"/>
  <c r="BJ51" i="1"/>
  <c r="BL51" i="1" s="1"/>
  <c r="AH14" i="1"/>
  <c r="AX14" i="1"/>
  <c r="BF14" i="1"/>
  <c r="R14" i="1"/>
  <c r="Z37" i="1"/>
  <c r="AB37" i="1" s="1"/>
  <c r="BN37" i="1"/>
  <c r="BP37" i="1" s="1"/>
  <c r="Z36" i="1"/>
  <c r="AB36" i="1" s="1"/>
  <c r="BJ40" i="1"/>
  <c r="BL40" i="1" s="1"/>
  <c r="BB34" i="1"/>
  <c r="BD34" i="1" s="1"/>
  <c r="BN49" i="1"/>
  <c r="BP49" i="1" s="1"/>
  <c r="BJ49" i="1"/>
  <c r="BL49" i="1" s="1"/>
  <c r="BF30" i="1"/>
  <c r="BH30" i="1" s="1"/>
  <c r="Z32" i="1"/>
  <c r="AB32" i="1" s="1"/>
  <c r="BB30" i="1"/>
  <c r="BD30" i="1" s="1"/>
  <c r="BF53" i="1"/>
  <c r="BH53" i="1" s="1"/>
  <c r="BJ52" i="1"/>
  <c r="BL52" i="1" s="1"/>
  <c r="BR38" i="1"/>
  <c r="BT38" i="1" s="1"/>
  <c r="AH30" i="1"/>
  <c r="AJ30" i="1" s="1"/>
  <c r="BN39" i="1"/>
  <c r="BP39" i="1" s="1"/>
  <c r="BR36" i="1"/>
  <c r="BT36" i="1" s="1"/>
  <c r="BF51" i="1"/>
  <c r="BH51" i="1" s="1"/>
  <c r="AT38" i="1"/>
  <c r="AV38" i="1" s="1"/>
  <c r="BV34" i="1"/>
  <c r="BX34" i="1" s="1"/>
  <c r="J34" i="1"/>
  <c r="L34" i="1" s="1"/>
  <c r="BR14" i="1"/>
  <c r="BT14" i="1" s="1"/>
  <c r="N51" i="1"/>
  <c r="CD51" i="1" s="1"/>
  <c r="CF51" i="1" s="1"/>
  <c r="J32" i="1"/>
  <c r="BZ32" i="1" s="1"/>
  <c r="CB32" i="1" s="1"/>
  <c r="V14" i="1"/>
  <c r="X14" i="1" s="1"/>
  <c r="AT14" i="1"/>
  <c r="AV14" i="1" s="1"/>
  <c r="BJ14" i="1"/>
  <c r="BB40" i="1"/>
  <c r="BD40" i="1" s="1"/>
  <c r="BJ45" i="1"/>
  <c r="BL45" i="1" s="1"/>
  <c r="AD45" i="1"/>
  <c r="AF45" i="1" s="1"/>
  <c r="V35" i="1"/>
  <c r="X35" i="1" s="1"/>
  <c r="AX36" i="1"/>
  <c r="AZ36" i="1" s="1"/>
  <c r="BN50" i="1"/>
  <c r="BP50" i="1" s="1"/>
  <c r="BB45" i="1"/>
  <c r="BD45" i="1" s="1"/>
  <c r="BR34" i="1"/>
  <c r="BT34" i="1" s="1"/>
  <c r="Z30" i="1"/>
  <c r="AB30" i="1" s="1"/>
  <c r="AT53" i="1"/>
  <c r="AV53" i="1" s="1"/>
  <c r="AD34" i="1"/>
  <c r="AF34" i="1" s="1"/>
  <c r="AH53" i="1"/>
  <c r="AJ53" i="1" s="1"/>
  <c r="CM39" i="1"/>
  <c r="R39" i="1"/>
  <c r="T39" i="1" s="1"/>
  <c r="BR32" i="1"/>
  <c r="BT32" i="1" s="1"/>
  <c r="BV38" i="1"/>
  <c r="BX38" i="1" s="1"/>
  <c r="BJ32" i="1"/>
  <c r="BL32" i="1" s="1"/>
  <c r="J36" i="1"/>
  <c r="BZ36" i="1" s="1"/>
  <c r="CB36" i="1" s="1"/>
  <c r="AP49" i="1"/>
  <c r="AR49" i="1" s="1"/>
  <c r="AX32" i="1"/>
  <c r="AZ32" i="1" s="1"/>
  <c r="V50" i="1"/>
  <c r="X50" i="1" s="1"/>
  <c r="BF49" i="1"/>
  <c r="BH49" i="1" s="1"/>
  <c r="AD53" i="1"/>
  <c r="AF53" i="1" s="1"/>
  <c r="BJ36" i="1"/>
  <c r="BL36" i="1" s="1"/>
  <c r="BR45" i="1"/>
  <c r="BT45" i="1" s="1"/>
  <c r="BJ34" i="1"/>
  <c r="BL34" i="1" s="1"/>
  <c r="AX53" i="1"/>
  <c r="AZ53" i="1" s="1"/>
  <c r="V45" i="1"/>
  <c r="X45" i="1" s="1"/>
  <c r="BV49" i="1"/>
  <c r="BX49" i="1" s="1"/>
  <c r="AD36" i="1"/>
  <c r="AF36" i="1" s="1"/>
  <c r="BN36" i="1"/>
  <c r="BP36" i="1" s="1"/>
  <c r="AP32" i="1"/>
  <c r="AR32" i="1" s="1"/>
  <c r="BN38" i="1"/>
  <c r="BP38" i="1" s="1"/>
  <c r="BV45" i="1"/>
  <c r="BX45" i="1" s="1"/>
  <c r="AX38" i="1"/>
  <c r="AZ38" i="1" s="1"/>
  <c r="N40" i="1"/>
  <c r="P40" i="1" s="1"/>
  <c r="J35" i="1"/>
  <c r="L35" i="1" s="1"/>
  <c r="AP40" i="1"/>
  <c r="AR40" i="1" s="1"/>
  <c r="BR40" i="1"/>
  <c r="BT40" i="1" s="1"/>
  <c r="BN40" i="1"/>
  <c r="BP40" i="1" s="1"/>
  <c r="BN47" i="1"/>
  <c r="BP47" i="1" s="1"/>
  <c r="BV53" i="1"/>
  <c r="BX53" i="1" s="1"/>
  <c r="R47" i="1"/>
  <c r="T47" i="1" s="1"/>
  <c r="AL37" i="1"/>
  <c r="AN37" i="1" s="1"/>
  <c r="BF32" i="1"/>
  <c r="BH32" i="1" s="1"/>
  <c r="N14" i="1"/>
  <c r="P14" i="1" s="1"/>
  <c r="AP14" i="1"/>
  <c r="AR14" i="1" s="1"/>
  <c r="BB14" i="1"/>
  <c r="BD14" i="1" s="1"/>
  <c r="AD14" i="1"/>
  <c r="AF14" i="1" s="1"/>
  <c r="J14" i="1"/>
  <c r="BZ14" i="1" s="1"/>
  <c r="CB14" i="1" s="1"/>
  <c r="CI14" i="1"/>
  <c r="CK14" i="1" s="1"/>
  <c r="CM14" i="1" s="1"/>
  <c r="L40" i="1" l="1"/>
  <c r="P32" i="1"/>
  <c r="BZ24" i="1"/>
  <c r="CB24" i="1" s="1"/>
  <c r="L53" i="1"/>
  <c r="BZ51" i="1"/>
  <c r="CB51" i="1" s="1"/>
  <c r="P22" i="1"/>
  <c r="CD24" i="1"/>
  <c r="CF24" i="1" s="1"/>
  <c r="BZ35" i="1"/>
  <c r="CB35" i="1" s="1"/>
  <c r="P20" i="1"/>
  <c r="BZ45" i="1"/>
  <c r="CB45" i="1" s="1"/>
  <c r="P39" i="1"/>
  <c r="L22" i="1"/>
  <c r="CD37" i="1"/>
  <c r="CF37" i="1" s="1"/>
  <c r="P19" i="1"/>
  <c r="CD18" i="1"/>
  <c r="CF18" i="1" s="1"/>
  <c r="BZ19" i="1"/>
  <c r="CB19" i="1" s="1"/>
  <c r="CD40" i="1"/>
  <c r="CF40" i="1" s="1"/>
  <c r="P52" i="1"/>
  <c r="P21" i="1"/>
  <c r="L16" i="1"/>
  <c r="L37" i="1"/>
  <c r="L32" i="1"/>
  <c r="P36" i="1"/>
  <c r="CD49" i="1"/>
  <c r="CF49" i="1" s="1"/>
  <c r="P53" i="1"/>
  <c r="CD47" i="1"/>
  <c r="CF47" i="1" s="1"/>
  <c r="BH14" i="1"/>
  <c r="CM37" i="1"/>
  <c r="AZ14" i="1"/>
  <c r="BZ50" i="1"/>
  <c r="CB50" i="1" s="1"/>
  <c r="L50" i="1"/>
  <c r="L38" i="1"/>
  <c r="BZ38" i="1"/>
  <c r="CB38" i="1" s="1"/>
  <c r="P34" i="1"/>
  <c r="CD34" i="1"/>
  <c r="CF34" i="1" s="1"/>
  <c r="BZ34" i="1"/>
  <c r="CB34" i="1" s="1"/>
  <c r="P30" i="1"/>
  <c r="CF30" i="1"/>
  <c r="L14" i="1"/>
  <c r="CM35" i="1"/>
  <c r="L36" i="1"/>
  <c r="BL14" i="1"/>
  <c r="P51" i="1"/>
  <c r="AJ14" i="1"/>
  <c r="L52" i="1"/>
  <c r="BZ52" i="1"/>
  <c r="CB52" i="1" s="1"/>
  <c r="CD14" i="1"/>
  <c r="CF14" i="1" s="1"/>
  <c r="T14" i="1"/>
  <c r="BZ47" i="1"/>
  <c r="CB47" i="1" s="1"/>
  <c r="CD35" i="1"/>
  <c r="CF35" i="1" s="1"/>
  <c r="P35" i="1"/>
  <c r="L23" i="1"/>
  <c r="BZ23" i="1"/>
  <c r="CB23" i="1" s="1"/>
  <c r="CD50" i="1"/>
  <c r="CF50" i="1" s="1"/>
  <c r="L49" i="1"/>
  <c r="CD45" i="1"/>
  <c r="CF45" i="1" s="1"/>
  <c r="L39" i="1"/>
  <c r="BZ30" i="1"/>
  <c r="CB30" i="1" s="1"/>
  <c r="L30" i="1"/>
  <c r="CD23" i="1"/>
  <c r="CF23" i="1" s="1"/>
  <c r="P23" i="1"/>
  <c r="CM21" i="1"/>
  <c r="P38" i="1"/>
  <c r="BZ18" i="1"/>
  <c r="CB18" i="1" s="1"/>
  <c r="L21" i="1"/>
  <c r="CD16" i="1"/>
  <c r="CF16" i="1" s="1"/>
  <c r="BZ20" i="1"/>
  <c r="CB20" i="1" s="1"/>
  <c r="F57" i="1"/>
  <c r="N57" i="1" s="1"/>
  <c r="CM27" i="1" l="1"/>
  <c r="AT57" i="1"/>
  <c r="AV57" i="1" s="1"/>
  <c r="V57" i="1"/>
  <c r="X57" i="1" s="1"/>
  <c r="P57" i="1"/>
  <c r="CD57" i="1"/>
  <c r="CF57" i="1" s="1"/>
  <c r="R57" i="1"/>
  <c r="T57" i="1" s="1"/>
  <c r="AH57" i="1"/>
  <c r="AJ57" i="1" s="1"/>
  <c r="AP57" i="1"/>
  <c r="AR57" i="1" s="1"/>
  <c r="BR57" i="1"/>
  <c r="BT57" i="1" s="1"/>
  <c r="AX57" i="1"/>
  <c r="AZ57" i="1" s="1"/>
  <c r="BJ57" i="1"/>
  <c r="BL57" i="1" s="1"/>
  <c r="BB57" i="1"/>
  <c r="BD57" i="1" s="1"/>
  <c r="BN57" i="1"/>
  <c r="BP57" i="1" s="1"/>
  <c r="AD57" i="1"/>
  <c r="AF57" i="1" s="1"/>
  <c r="CI57" i="1"/>
  <c r="CK57" i="1" s="1"/>
  <c r="CM57" i="1" s="1"/>
  <c r="Z57" i="1"/>
  <c r="AB57" i="1" s="1"/>
  <c r="BV57" i="1"/>
  <c r="BX57" i="1" s="1"/>
  <c r="AL57" i="1"/>
  <c r="AN57" i="1" s="1"/>
  <c r="BF57" i="1"/>
  <c r="BH57" i="1" s="1"/>
  <c r="J57" i="1"/>
  <c r="L57" i="1" l="1"/>
  <c r="BZ57" i="1"/>
  <c r="CB57" i="1" s="1"/>
  <c r="F54" i="1"/>
  <c r="BJ54" i="1" s="1"/>
  <c r="BF54" i="1" l="1"/>
  <c r="BH54" i="1" s="1"/>
  <c r="BL54" i="1"/>
  <c r="N54" i="1"/>
  <c r="V54" i="1"/>
  <c r="BV54" i="1"/>
  <c r="BX54" i="1" s="1"/>
  <c r="AL54" i="1"/>
  <c r="AT54" i="1"/>
  <c r="AP54" i="1"/>
  <c r="AH54" i="1"/>
  <c r="J54" i="1"/>
  <c r="AX54" i="1"/>
  <c r="Z54" i="1"/>
  <c r="AD54" i="1"/>
  <c r="CI54" i="1"/>
  <c r="BB54" i="1"/>
  <c r="R54" i="1"/>
  <c r="BN54" i="1"/>
  <c r="BP54" i="1" s="1"/>
  <c r="BR54" i="1"/>
  <c r="BT54" i="1" s="1"/>
  <c r="AJ54" i="1" l="1"/>
  <c r="BD54" i="1"/>
  <c r="AZ54" i="1"/>
  <c r="AV54" i="1"/>
  <c r="X54" i="1"/>
  <c r="CK54" i="1"/>
  <c r="L54" i="1"/>
  <c r="BZ54" i="1"/>
  <c r="CB54" i="1" s="1"/>
  <c r="AN54" i="1"/>
  <c r="P54" i="1"/>
  <c r="CD54" i="1"/>
  <c r="CF54" i="1" s="1"/>
  <c r="AF54" i="1"/>
  <c r="T54" i="1"/>
  <c r="AB54" i="1"/>
  <c r="AR54" i="1"/>
  <c r="CM54" i="1" l="1"/>
  <c r="F55" i="1"/>
  <c r="N55" i="1" s="1"/>
  <c r="CI55" i="1" l="1"/>
  <c r="CI121" i="1" s="1"/>
  <c r="AL55" i="1"/>
  <c r="BJ55" i="1"/>
  <c r="AD55" i="1"/>
  <c r="AF55" i="1" s="1"/>
  <c r="R55" i="1"/>
  <c r="T55" i="1" s="1"/>
  <c r="BB55" i="1"/>
  <c r="BF55" i="1"/>
  <c r="BF121" i="1" s="1"/>
  <c r="BH119" i="1" s="1"/>
  <c r="P55" i="1"/>
  <c r="CD55" i="1"/>
  <c r="CF55" i="1" s="1"/>
  <c r="CF121" i="1" s="1"/>
  <c r="CC129" i="1" s="1"/>
  <c r="N121" i="1"/>
  <c r="AP55" i="1"/>
  <c r="BV55" i="1"/>
  <c r="BX55" i="1" s="1"/>
  <c r="BX121" i="1" s="1"/>
  <c r="BU129" i="1" s="1"/>
  <c r="AT55" i="1"/>
  <c r="BR55" i="1"/>
  <c r="BT55" i="1" s="1"/>
  <c r="BT121" i="1" s="1"/>
  <c r="BQ129" i="1" s="1"/>
  <c r="BN55" i="1"/>
  <c r="BP55" i="1" s="1"/>
  <c r="BP121" i="1" s="1"/>
  <c r="BM129" i="1" s="1"/>
  <c r="V55" i="1"/>
  <c r="Z55" i="1"/>
  <c r="AH55" i="1"/>
  <c r="J55" i="1"/>
  <c r="AX55" i="1"/>
  <c r="R121" i="1" l="1"/>
  <c r="Q129" i="1" s="1"/>
  <c r="AD121" i="1"/>
  <c r="CK55" i="1"/>
  <c r="BH55" i="1"/>
  <c r="BH121" i="1"/>
  <c r="BE133" i="1" s="1"/>
  <c r="BE129" i="1"/>
  <c r="BE131" i="1" s="1"/>
  <c r="AL121" i="1"/>
  <c r="AN55" i="1"/>
  <c r="BL55" i="1"/>
  <c r="BJ121" i="1"/>
  <c r="BB121" i="1"/>
  <c r="BD55" i="1"/>
  <c r="AJ55" i="1"/>
  <c r="AH121" i="1"/>
  <c r="CC132" i="1"/>
  <c r="CC131" i="1"/>
  <c r="Z121" i="1"/>
  <c r="AB55" i="1"/>
  <c r="BM131" i="1"/>
  <c r="BM133" i="1" s="1"/>
  <c r="BM134" i="1" s="1"/>
  <c r="BU132" i="1"/>
  <c r="BU131" i="1"/>
  <c r="AZ55" i="1"/>
  <c r="AX121" i="1"/>
  <c r="X55" i="1"/>
  <c r="V121" i="1"/>
  <c r="BQ132" i="1"/>
  <c r="BQ131" i="1"/>
  <c r="AR55" i="1"/>
  <c r="AP121" i="1"/>
  <c r="L55" i="1"/>
  <c r="J121" i="1"/>
  <c r="BZ55" i="1"/>
  <c r="CB55" i="1" s="1"/>
  <c r="CB121" i="1" s="1"/>
  <c r="BY129" i="1" s="1"/>
  <c r="AF121" i="1"/>
  <c r="AC133" i="1" s="1"/>
  <c r="AC134" i="1" s="1"/>
  <c r="AF119" i="1"/>
  <c r="AC131" i="1" s="1"/>
  <c r="AC129" i="1"/>
  <c r="AV55" i="1"/>
  <c r="AT121" i="1"/>
  <c r="M129" i="1"/>
  <c r="M134" i="1" s="1"/>
  <c r="P121" i="1"/>
  <c r="M133" i="1" s="1"/>
  <c r="T121" i="1" l="1"/>
  <c r="Q133" i="1" s="1"/>
  <c r="Q134" i="1" s="1"/>
  <c r="BE134" i="1"/>
  <c r="CM55" i="1"/>
  <c r="CM59" i="1" s="1"/>
  <c r="CM121" i="1" s="1"/>
  <c r="CK121" i="1"/>
  <c r="CK122" i="1" s="1"/>
  <c r="CM122" i="1" s="1"/>
  <c r="AK129" i="1"/>
  <c r="AN121" i="1"/>
  <c r="AK133" i="1" s="1"/>
  <c r="AK134" i="1" s="1"/>
  <c r="AN119" i="1"/>
  <c r="BI129" i="1"/>
  <c r="BL119" i="1"/>
  <c r="BI131" i="1" s="1"/>
  <c r="BL121" i="1"/>
  <c r="BI133" i="1" s="1"/>
  <c r="BD121" i="1"/>
  <c r="BA133" i="1" s="1"/>
  <c r="BD119" i="1"/>
  <c r="BA131" i="1" s="1"/>
  <c r="BA129" i="1"/>
  <c r="BU133" i="1"/>
  <c r="BU134" i="1" s="1"/>
  <c r="CC133" i="1"/>
  <c r="CC134" i="1" s="1"/>
  <c r="BQ133" i="1"/>
  <c r="BQ134" i="1" s="1"/>
  <c r="X121" i="1"/>
  <c r="U133" i="1" s="1"/>
  <c r="U134" i="1" s="1"/>
  <c r="U129" i="1"/>
  <c r="Y129" i="1"/>
  <c r="AB119" i="1"/>
  <c r="Y131" i="1" s="1"/>
  <c r="AB121" i="1"/>
  <c r="Y133" i="1" s="1"/>
  <c r="Y134" i="1" s="1"/>
  <c r="BY131" i="1"/>
  <c r="BY132" i="1"/>
  <c r="I129" i="1"/>
  <c r="I134" i="1" s="1"/>
  <c r="L121" i="1"/>
  <c r="I133" i="1" s="1"/>
  <c r="AZ121" i="1"/>
  <c r="AW133" i="1" s="1"/>
  <c r="AW134" i="1" s="1"/>
  <c r="AZ119" i="1"/>
  <c r="AW129" i="1"/>
  <c r="AG129" i="1"/>
  <c r="AJ121" i="1"/>
  <c r="AG133" i="1" s="1"/>
  <c r="AG134" i="1" s="1"/>
  <c r="AJ119" i="1"/>
  <c r="AV121" i="1"/>
  <c r="AS133" i="1" s="1"/>
  <c r="AS134" i="1" s="1"/>
  <c r="AS129" i="1"/>
  <c r="AV119" i="1"/>
  <c r="AR121" i="1"/>
  <c r="AO133" i="1" s="1"/>
  <c r="AO134" i="1" s="1"/>
  <c r="AR119" i="1"/>
  <c r="AO129" i="1"/>
  <c r="BI134" i="1" l="1"/>
  <c r="BA134" i="1"/>
  <c r="BY133" i="1"/>
  <c r="BY134" i="1" s="1"/>
  <c r="AG131" i="1"/>
  <c r="AJ131" i="1"/>
</calcChain>
</file>

<file path=xl/sharedStrings.xml><?xml version="1.0" encoding="utf-8"?>
<sst xmlns="http://schemas.openxmlformats.org/spreadsheetml/2006/main" count="336" uniqueCount="97">
  <si>
    <t xml:space="preserve">OBRA:  </t>
  </si>
  <si>
    <t>Reserva Campo Belo - Paço das Águas</t>
  </si>
  <si>
    <t xml:space="preserve">Cliente : </t>
  </si>
  <si>
    <t>MEDIÇÃO 1</t>
  </si>
  <si>
    <t>MEDIÇÃO 2</t>
  </si>
  <si>
    <t>MEDIÇÃO 3</t>
  </si>
  <si>
    <t>MEDIÇÃO 4</t>
  </si>
  <si>
    <t>MEDIÇÃO 5</t>
  </si>
  <si>
    <t>MEDIÇÃO 6</t>
  </si>
  <si>
    <t>MEDIÇÃO 7</t>
  </si>
  <si>
    <t>MEDIÇÃO 8</t>
  </si>
  <si>
    <t>MEDIÇÃO 9</t>
  </si>
  <si>
    <t>MEDIÇÃO 10</t>
  </si>
  <si>
    <t>RESUMO</t>
  </si>
  <si>
    <t>TOTAL MEDIDO</t>
  </si>
  <si>
    <t>ITEM</t>
  </si>
  <si>
    <t>DESCRIÇÃO DOS SERVIÇOS</t>
  </si>
  <si>
    <t>QUANT.</t>
  </si>
  <si>
    <t>M.O.</t>
  </si>
  <si>
    <t>Mat</t>
  </si>
  <si>
    <t>TOTAL</t>
  </si>
  <si>
    <t>TOTAL R$</t>
  </si>
  <si>
    <t>SALDO</t>
  </si>
  <si>
    <t>SALDO R$</t>
  </si>
  <si>
    <t>Serviços</t>
  </si>
  <si>
    <t>Contrato</t>
  </si>
  <si>
    <t>Parcelas</t>
  </si>
  <si>
    <t>SUBSOLO E IMPLANTAÇÃO</t>
  </si>
  <si>
    <t xml:space="preserve">TORRE </t>
  </si>
  <si>
    <t>Totais</t>
  </si>
  <si>
    <t>Total</t>
  </si>
  <si>
    <t>Total medido =</t>
  </si>
  <si>
    <t>Saldo =</t>
  </si>
  <si>
    <t>INTALAÇÕES ELÉTRICAS</t>
  </si>
  <si>
    <t>ENFIAÇÃO</t>
  </si>
  <si>
    <t>INTERRUPTORES E TOMADAS</t>
  </si>
  <si>
    <t>QUADROS DE LUZ E FORÇA TIPO - CAIXA</t>
  </si>
  <si>
    <t>QUADROS DE LUZ E FORÇA TIPO - MIOLO</t>
  </si>
  <si>
    <t>ALIMENTADORES ADM - INFRA ESTRUTURA</t>
  </si>
  <si>
    <t>ALIMENTADORES ADM - CABOS</t>
  </si>
  <si>
    <t>DISTRIBUIÇÃO DE ALVENARIA</t>
  </si>
  <si>
    <t>INSTAL. LUMINARIAS  AREAS COMUNS</t>
  </si>
  <si>
    <t>Faturamento Direto Eletrica</t>
  </si>
  <si>
    <t>TOTAIS</t>
  </si>
  <si>
    <t>M.O. HIDRÁULICA</t>
  </si>
  <si>
    <t>MAT. HIDRÁULICA</t>
  </si>
  <si>
    <t>M.O. ELÉTRICA</t>
  </si>
  <si>
    <t>MAT. ELÉTRICA</t>
  </si>
  <si>
    <t xml:space="preserve">Total GERAL </t>
  </si>
  <si>
    <t>Alimentadores - Infra estrutura</t>
  </si>
  <si>
    <t>Alimentadores - Cabos</t>
  </si>
  <si>
    <t>Quadro de luz e Força - Caixas</t>
  </si>
  <si>
    <t>Quadro de luz e Força - Miolo</t>
  </si>
  <si>
    <t>Enfiação</t>
  </si>
  <si>
    <t>Instalação de Luminárias</t>
  </si>
  <si>
    <t>Malha de Aterramento</t>
  </si>
  <si>
    <t>Malha de aterramento</t>
  </si>
  <si>
    <t xml:space="preserve">ALIMENTADORES TIPO </t>
  </si>
  <si>
    <t>BARRAMENTO BLINDADO</t>
  </si>
  <si>
    <t>DISTRIBUIÇÃO DE LAJE E ATERRAMENTO</t>
  </si>
  <si>
    <t>DISTRIBUIÇÃO DE ESCADARIA ILUMINAÇÃO</t>
  </si>
  <si>
    <t>SPDA E ATERRAMENTOS - PARA RAIO</t>
  </si>
  <si>
    <t>DIÁLOGO</t>
  </si>
  <si>
    <t>MEDIÇÃO 11</t>
  </si>
  <si>
    <t>MEDIÇÃO 12</t>
  </si>
  <si>
    <t>MEDIÇÃO 13</t>
  </si>
  <si>
    <t>MEDIÇÃO 14</t>
  </si>
  <si>
    <t>MEDIÇÃO 15</t>
  </si>
  <si>
    <t>REAJUSTE DISSIDIO 2022 - 12,47%</t>
  </si>
  <si>
    <t>REAJUSTE DISSIDIO 2023 - 4,6%</t>
  </si>
  <si>
    <t>mês 7</t>
  </si>
  <si>
    <t>mês 8</t>
  </si>
  <si>
    <t>mês 9</t>
  </si>
  <si>
    <t>mês 10</t>
  </si>
  <si>
    <t>mês 11</t>
  </si>
  <si>
    <t>MEDIÇÃO 16</t>
  </si>
  <si>
    <t>MEDIÇÃO 17</t>
  </si>
  <si>
    <t>MEDIÇÃO 18</t>
  </si>
  <si>
    <t>SALDO MEDIDO</t>
  </si>
  <si>
    <t>MEDIÇÃO 19</t>
  </si>
  <si>
    <t>Torre 1 (1°PAV ao 30° PAV)</t>
  </si>
  <si>
    <t>Torre 3 (1° PAV ao BARRILETE)</t>
  </si>
  <si>
    <t>Torre 2 (1°PAV ao BARRILETE)</t>
  </si>
  <si>
    <t>PRUMADA SISTEMA</t>
  </si>
  <si>
    <t>POÇO ELEVADOR</t>
  </si>
  <si>
    <t>PADRE RAPOSO</t>
  </si>
  <si>
    <t>Embutidos em Laje - Iluminação (Periferia)</t>
  </si>
  <si>
    <t>Embutidos em Laje - Iluminação (Torre)</t>
  </si>
  <si>
    <t>Embutidos em Laje - Sistemas (Periferia)</t>
  </si>
  <si>
    <t>Embutidos em Laje - Sistemas (Torre)</t>
  </si>
  <si>
    <t>ENTRADAS DE ENERGIA (Centro de Medição)</t>
  </si>
  <si>
    <t>DISTRIBUIÇÃO DE CAIXAS EM ALVENARIA</t>
  </si>
  <si>
    <t>Torre 3 (SS)</t>
  </si>
  <si>
    <t>Torre 2 (SS)</t>
  </si>
  <si>
    <t>Torre 1 (SS)</t>
  </si>
  <si>
    <t>REAJUSTE DISSIDIO 2027</t>
  </si>
  <si>
    <t>REAJUSTE DISSIDIO 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</si>
</sst>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* #,##0.00_-;\-&quot;R$&quot;* #,##0.00_-;_-&quot;R$&quot;* &quot;-&quot;??_-;_-@_-"/>
    <numFmt numFmtId="165" formatCode="_(* #,##0.00_);_(* \(#,##0.00\);_(* \-??_);_(@_)"/>
    <numFmt numFmtId="166" formatCode="mmm\-yy"/>
    <numFmt numFmtId="167" formatCode="00"/>
    <numFmt numFmtId="168" formatCode="#,##0.00_ ;\-#,##0.00\ "/>
    <numFmt numFmtId="169" formatCode="&quot;R$&quot;\ #,##0.00"/>
    <numFmt numFmtId="170" formatCode="#,##0_ ;\-#,##0\ "/>
  </numFmts>
  <fonts count="8" x14ac:knownFonts="1">
    <font>
      <sz val="14"/>
      <name val="Arial"/>
      <family val="2"/>
    </font>
    <font>
      <sz val="14"/>
      <name val="Arial"/>
      <family val="2"/>
    </font>
    <font>
      <b/>
      <sz val="14"/>
      <color indexed="10"/>
      <name val="Arial"/>
      <family val="2"/>
    </font>
    <font>
      <b/>
      <sz val="14"/>
      <name val="Arial"/>
      <family val="2"/>
    </font>
    <font>
      <sz val="14"/>
      <color indexed="8"/>
      <name val="Arial"/>
      <family val="2"/>
    </font>
    <font>
      <b/>
      <sz val="14"/>
      <color indexed="8"/>
      <name val="Arial"/>
      <family val="2"/>
    </font>
    <font>
      <b/>
      <sz val="16"/>
      <name val="Arial"/>
      <family val="2"/>
    </font>
    <font>
      <sz val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31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02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thin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8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8"/>
      </top>
      <bottom style="hair">
        <color indexed="8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8"/>
      </top>
      <bottom style="hair">
        <color indexed="8"/>
      </bottom>
      <diagonal/>
    </border>
    <border>
      <left style="thick">
        <color indexed="8"/>
      </left>
      <right/>
      <top style="thin">
        <color indexed="8"/>
      </top>
      <bottom style="hair">
        <color indexed="8"/>
      </bottom>
      <diagonal/>
    </border>
    <border>
      <left style="thick">
        <color indexed="8"/>
      </left>
      <right style="medium">
        <color indexed="64"/>
      </right>
      <top style="thin">
        <color indexed="8"/>
      </top>
      <bottom style="hair">
        <color indexed="8"/>
      </bottom>
      <diagonal/>
    </border>
    <border>
      <left style="medium">
        <color indexed="8"/>
      </left>
      <right/>
      <top style="hair">
        <color indexed="8"/>
      </top>
      <bottom style="hair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8"/>
      </right>
      <top style="medium">
        <color indexed="64"/>
      </top>
      <bottom/>
      <diagonal/>
    </border>
    <border>
      <left style="medium">
        <color indexed="64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/>
      <top style="medium">
        <color indexed="64"/>
      </top>
      <bottom/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/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8"/>
      </top>
      <bottom style="hair">
        <color indexed="8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hair">
        <color indexed="8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8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84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4" fontId="0" fillId="2" borderId="0" xfId="0" applyNumberFormat="1" applyFill="1" applyAlignment="1">
      <alignment horizontal="right" vertical="center" wrapText="1"/>
    </xf>
    <xf numFmtId="165" fontId="0" fillId="0" borderId="0" xfId="0" applyNumberFormat="1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" fontId="3" fillId="2" borderId="3" xfId="0" applyNumberFormat="1" applyFont="1" applyFill="1" applyBorder="1" applyAlignment="1">
      <alignment horizontal="right" vertical="center" wrapText="1"/>
    </xf>
    <xf numFmtId="4" fontId="0" fillId="0" borderId="3" xfId="0" applyNumberFormat="1" applyBorder="1" applyAlignment="1">
      <alignment horizontal="right" vertical="center"/>
    </xf>
    <xf numFmtId="165" fontId="0" fillId="0" borderId="4" xfId="0" applyNumberFormat="1" applyBorder="1" applyAlignment="1" applyProtection="1">
      <alignment horizontal="justify" vertical="center"/>
      <protection locked="0"/>
    </xf>
    <xf numFmtId="165" fontId="0" fillId="0" borderId="0" xfId="0" applyNumberFormat="1" applyAlignment="1" applyProtection="1">
      <alignment horizontal="justify" vertical="center"/>
      <protection locked="0"/>
    </xf>
    <xf numFmtId="49" fontId="2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4" fontId="3" fillId="2" borderId="8" xfId="0" applyNumberFormat="1" applyFont="1" applyFill="1" applyBorder="1" applyAlignment="1">
      <alignment horizontal="right" vertical="center" wrapText="1"/>
    </xf>
    <xf numFmtId="4" fontId="0" fillId="0" borderId="8" xfId="0" applyNumberFormat="1" applyBorder="1" applyAlignment="1">
      <alignment horizontal="right" vertical="center"/>
    </xf>
    <xf numFmtId="165" fontId="0" fillId="0" borderId="9" xfId="0" applyNumberFormat="1" applyBorder="1" applyAlignment="1">
      <alignment horizontal="right" vertical="center"/>
    </xf>
    <xf numFmtId="165" fontId="0" fillId="0" borderId="0" xfId="0" applyNumberFormat="1" applyAlignment="1">
      <alignment horizontal="right" vertical="center"/>
    </xf>
    <xf numFmtId="4" fontId="0" fillId="0" borderId="10" xfId="0" applyNumberFormat="1" applyBorder="1" applyAlignment="1">
      <alignment horizontal="center" vertical="center" wrapText="1"/>
    </xf>
    <xf numFmtId="4" fontId="3" fillId="2" borderId="10" xfId="0" applyNumberFormat="1" applyFont="1" applyFill="1" applyBorder="1" applyAlignment="1">
      <alignment horizontal="left" vertical="center"/>
    </xf>
    <xf numFmtId="4" fontId="3" fillId="0" borderId="10" xfId="0" applyNumberFormat="1" applyFont="1" applyBorder="1" applyAlignment="1">
      <alignment horizontal="left" vertical="center"/>
    </xf>
    <xf numFmtId="166" fontId="3" fillId="0" borderId="11" xfId="0" applyNumberFormat="1" applyFont="1" applyBorder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0" fontId="2" fillId="0" borderId="20" xfId="0" applyFont="1" applyBorder="1" applyAlignment="1">
      <alignment vertical="center"/>
    </xf>
    <xf numFmtId="4" fontId="3" fillId="0" borderId="21" xfId="0" applyNumberFormat="1" applyFont="1" applyBorder="1" applyAlignment="1">
      <alignment horizontal="center" vertical="center" wrapText="1"/>
    </xf>
    <xf numFmtId="4" fontId="3" fillId="2" borderId="22" xfId="0" applyNumberFormat="1" applyFont="1" applyFill="1" applyBorder="1" applyAlignment="1">
      <alignment horizontal="center" vertical="center" wrapText="1"/>
    </xf>
    <xf numFmtId="4" fontId="3" fillId="0" borderId="23" xfId="0" applyNumberFormat="1" applyFont="1" applyBorder="1" applyAlignment="1">
      <alignment horizontal="center" vertical="center" wrapText="1"/>
    </xf>
    <xf numFmtId="4" fontId="3" fillId="3" borderId="21" xfId="0" applyNumberFormat="1" applyFont="1" applyFill="1" applyBorder="1" applyAlignment="1">
      <alignment horizontal="center" vertical="center" wrapText="1"/>
    </xf>
    <xf numFmtId="4" fontId="3" fillId="3" borderId="22" xfId="0" applyNumberFormat="1" applyFont="1" applyFill="1" applyBorder="1" applyAlignment="1">
      <alignment horizontal="center" vertical="center" wrapText="1"/>
    </xf>
    <xf numFmtId="4" fontId="3" fillId="3" borderId="24" xfId="0" applyNumberFormat="1" applyFont="1" applyFill="1" applyBorder="1" applyAlignment="1">
      <alignment horizontal="center" vertical="center" wrapText="1"/>
    </xf>
    <xf numFmtId="4" fontId="3" fillId="3" borderId="25" xfId="0" applyNumberFormat="1" applyFont="1" applyFill="1" applyBorder="1" applyAlignment="1">
      <alignment horizontal="center" vertical="center" wrapText="1"/>
    </xf>
    <xf numFmtId="0" fontId="2" fillId="0" borderId="26" xfId="0" applyFont="1" applyBorder="1" applyAlignment="1">
      <alignment vertical="center"/>
    </xf>
    <xf numFmtId="1" fontId="4" fillId="4" borderId="31" xfId="0" applyNumberFormat="1" applyFont="1" applyFill="1" applyBorder="1" applyAlignment="1">
      <alignment horizontal="center" vertical="center"/>
    </xf>
    <xf numFmtId="1" fontId="4" fillId="4" borderId="32" xfId="0" applyNumberFormat="1" applyFont="1" applyFill="1" applyBorder="1" applyAlignment="1">
      <alignment horizontal="center" vertical="center"/>
    </xf>
    <xf numFmtId="1" fontId="4" fillId="4" borderId="33" xfId="0" applyNumberFormat="1" applyFont="1" applyFill="1" applyBorder="1" applyAlignment="1">
      <alignment horizontal="center" vertical="center"/>
    </xf>
    <xf numFmtId="1" fontId="4" fillId="4" borderId="34" xfId="0" applyNumberFormat="1" applyFont="1" applyFill="1" applyBorder="1" applyAlignment="1">
      <alignment horizontal="center" vertical="center"/>
    </xf>
    <xf numFmtId="1" fontId="4" fillId="4" borderId="35" xfId="0" applyNumberFormat="1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left" vertical="center"/>
    </xf>
    <xf numFmtId="0" fontId="3" fillId="5" borderId="31" xfId="0" applyFont="1" applyFill="1" applyBorder="1" applyAlignment="1">
      <alignment horizontal="left" vertical="center"/>
    </xf>
    <xf numFmtId="0" fontId="3" fillId="5" borderId="32" xfId="0" applyFont="1" applyFill="1" applyBorder="1" applyAlignment="1">
      <alignment horizontal="left" vertical="center"/>
    </xf>
    <xf numFmtId="0" fontId="3" fillId="5" borderId="33" xfId="0" applyFont="1" applyFill="1" applyBorder="1" applyAlignment="1">
      <alignment horizontal="left" vertical="center"/>
    </xf>
    <xf numFmtId="0" fontId="3" fillId="5" borderId="35" xfId="0" applyFont="1" applyFill="1" applyBorder="1" applyAlignment="1">
      <alignment horizontal="left" vertical="center"/>
    </xf>
    <xf numFmtId="0" fontId="0" fillId="0" borderId="31" xfId="0" applyBorder="1" applyAlignment="1">
      <alignment horizontal="center" vertical="center"/>
    </xf>
    <xf numFmtId="43" fontId="0" fillId="0" borderId="32" xfId="1" applyFont="1" applyBorder="1" applyAlignment="1">
      <alignment vertical="center"/>
    </xf>
    <xf numFmtId="165" fontId="0" fillId="0" borderId="33" xfId="0" applyNumberFormat="1" applyBorder="1" applyAlignment="1">
      <alignment vertical="center"/>
    </xf>
    <xf numFmtId="0" fontId="0" fillId="3" borderId="31" xfId="0" applyFill="1" applyBorder="1" applyAlignment="1">
      <alignment horizontal="center" vertical="center"/>
    </xf>
    <xf numFmtId="43" fontId="0" fillId="3" borderId="32" xfId="1" applyFont="1" applyFill="1" applyBorder="1" applyAlignment="1">
      <alignment vertical="center"/>
    </xf>
    <xf numFmtId="43" fontId="0" fillId="3" borderId="34" xfId="1" applyFont="1" applyFill="1" applyBorder="1" applyAlignment="1">
      <alignment vertical="center"/>
    </xf>
    <xf numFmtId="165" fontId="0" fillId="3" borderId="32" xfId="0" applyNumberFormat="1" applyFill="1" applyBorder="1" applyAlignment="1">
      <alignment vertical="center"/>
    </xf>
    <xf numFmtId="165" fontId="0" fillId="3" borderId="35" xfId="0" applyNumberFormat="1" applyFill="1" applyBorder="1" applyAlignment="1">
      <alignment vertical="center"/>
    </xf>
    <xf numFmtId="0" fontId="0" fillId="5" borderId="31" xfId="0" applyFill="1" applyBorder="1" applyAlignment="1">
      <alignment horizontal="center" vertical="center"/>
    </xf>
    <xf numFmtId="0" fontId="0" fillId="5" borderId="32" xfId="0" applyFill="1" applyBorder="1" applyAlignment="1">
      <alignment horizontal="center" vertical="center"/>
    </xf>
    <xf numFmtId="43" fontId="0" fillId="5" borderId="32" xfId="1" applyFont="1" applyFill="1" applyBorder="1" applyAlignment="1">
      <alignment vertical="center"/>
    </xf>
    <xf numFmtId="165" fontId="0" fillId="5" borderId="33" xfId="0" applyNumberFormat="1" applyFill="1" applyBorder="1" applyAlignment="1">
      <alignment vertical="center"/>
    </xf>
    <xf numFmtId="43" fontId="0" fillId="5" borderId="34" xfId="1" applyFont="1" applyFill="1" applyBorder="1" applyAlignment="1">
      <alignment vertical="center"/>
    </xf>
    <xf numFmtId="165" fontId="0" fillId="5" borderId="32" xfId="0" applyNumberFormat="1" applyFill="1" applyBorder="1" applyAlignment="1">
      <alignment vertical="center"/>
    </xf>
    <xf numFmtId="165" fontId="0" fillId="5" borderId="35" xfId="0" applyNumberFormat="1" applyFill="1" applyBorder="1" applyAlignment="1">
      <alignment vertical="center"/>
    </xf>
    <xf numFmtId="43" fontId="3" fillId="0" borderId="41" xfId="1" applyFont="1" applyBorder="1" applyAlignment="1">
      <alignment vertical="center"/>
    </xf>
    <xf numFmtId="43" fontId="3" fillId="0" borderId="36" xfId="1" applyFont="1" applyBorder="1" applyAlignment="1">
      <alignment vertical="center"/>
    </xf>
    <xf numFmtId="39" fontId="3" fillId="3" borderId="42" xfId="0" applyNumberFormat="1" applyFont="1" applyFill="1" applyBorder="1" applyAlignment="1">
      <alignment horizontal="center" vertical="center"/>
    </xf>
    <xf numFmtId="43" fontId="3" fillId="3" borderId="36" xfId="1" applyFont="1" applyFill="1" applyBorder="1" applyAlignment="1">
      <alignment vertical="center"/>
    </xf>
    <xf numFmtId="43" fontId="3" fillId="3" borderId="43" xfId="1" applyFont="1" applyFill="1" applyBorder="1" applyAlignment="1">
      <alignment vertical="center"/>
    </xf>
    <xf numFmtId="0" fontId="3" fillId="0" borderId="0" xfId="0" applyFont="1" applyAlignment="1">
      <alignment vertical="center"/>
    </xf>
    <xf numFmtId="1" fontId="4" fillId="5" borderId="45" xfId="0" applyNumberFormat="1" applyFont="1" applyFill="1" applyBorder="1" applyAlignment="1">
      <alignment horizontal="center" vertical="center"/>
    </xf>
    <xf numFmtId="43" fontId="0" fillId="0" borderId="0" xfId="0" applyNumberFormat="1" applyAlignment="1">
      <alignment vertical="center"/>
    </xf>
    <xf numFmtId="39" fontId="0" fillId="2" borderId="31" xfId="0" applyNumberFormat="1" applyFill="1" applyBorder="1" applyAlignment="1">
      <alignment vertical="center"/>
    </xf>
    <xf numFmtId="165" fontId="0" fillId="0" borderId="32" xfId="0" applyNumberFormat="1" applyBorder="1" applyAlignment="1">
      <alignment vertical="center"/>
    </xf>
    <xf numFmtId="0" fontId="2" fillId="0" borderId="54" xfId="0" applyFont="1" applyBorder="1" applyAlignment="1">
      <alignment vertical="center"/>
    </xf>
    <xf numFmtId="165" fontId="0" fillId="0" borderId="56" xfId="0" applyNumberFormat="1" applyBorder="1" applyAlignment="1">
      <alignment vertical="center"/>
    </xf>
    <xf numFmtId="4" fontId="4" fillId="5" borderId="69" xfId="0" applyNumberFormat="1" applyFont="1" applyFill="1" applyBorder="1" applyAlignment="1">
      <alignment horizontal="center" vertical="center"/>
    </xf>
    <xf numFmtId="0" fontId="3" fillId="0" borderId="70" xfId="0" applyFont="1" applyBorder="1" applyAlignment="1">
      <alignment horizontal="center" vertical="center"/>
    </xf>
    <xf numFmtId="0" fontId="3" fillId="0" borderId="71" xfId="0" applyFont="1" applyBorder="1" applyAlignment="1">
      <alignment horizontal="center" vertical="center"/>
    </xf>
    <xf numFmtId="167" fontId="0" fillId="5" borderId="31" xfId="0" applyNumberFormat="1" applyFill="1" applyBorder="1" applyAlignment="1">
      <alignment horizontal="center" vertical="center"/>
    </xf>
    <xf numFmtId="167" fontId="0" fillId="0" borderId="31" xfId="0" applyNumberFormat="1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4" borderId="31" xfId="0" applyFill="1" applyBorder="1" applyAlignment="1">
      <alignment horizontal="center" vertical="center" wrapText="1"/>
    </xf>
    <xf numFmtId="167" fontId="3" fillId="5" borderId="68" xfId="0" applyNumberFormat="1" applyFont="1" applyFill="1" applyBorder="1" applyAlignment="1">
      <alignment horizontal="center" vertical="center"/>
    </xf>
    <xf numFmtId="0" fontId="0" fillId="5" borderId="72" xfId="0" applyFill="1" applyBorder="1" applyAlignment="1">
      <alignment horizontal="center" vertical="center"/>
    </xf>
    <xf numFmtId="0" fontId="3" fillId="0" borderId="73" xfId="0" applyFont="1" applyBorder="1" applyAlignment="1">
      <alignment horizontal="center" vertical="center"/>
    </xf>
    <xf numFmtId="0" fontId="3" fillId="0" borderId="74" xfId="0" applyFont="1" applyBorder="1" applyAlignment="1">
      <alignment horizontal="center" vertical="center"/>
    </xf>
    <xf numFmtId="4" fontId="3" fillId="0" borderId="37" xfId="0" applyNumberFormat="1" applyFont="1" applyBorder="1" applyAlignment="1">
      <alignment horizontal="left" vertical="center" wrapText="1"/>
    </xf>
    <xf numFmtId="4" fontId="3" fillId="0" borderId="75" xfId="0" applyNumberFormat="1" applyFont="1" applyBorder="1" applyAlignment="1">
      <alignment horizontal="center" vertical="center" wrapText="1"/>
    </xf>
    <xf numFmtId="1" fontId="4" fillId="4" borderId="72" xfId="0" applyNumberFormat="1" applyFont="1" applyFill="1" applyBorder="1" applyAlignment="1">
      <alignment horizontal="center" vertical="center"/>
    </xf>
    <xf numFmtId="0" fontId="3" fillId="5" borderId="72" xfId="0" applyFont="1" applyFill="1" applyBorder="1" applyAlignment="1">
      <alignment horizontal="left" vertical="center"/>
    </xf>
    <xf numFmtId="0" fontId="0" fillId="0" borderId="72" xfId="0" applyBorder="1" applyAlignment="1">
      <alignment horizontal="center" vertical="center"/>
    </xf>
    <xf numFmtId="39" fontId="3" fillId="2" borderId="40" xfId="0" applyNumberFormat="1" applyFont="1" applyFill="1" applyBorder="1" applyAlignment="1">
      <alignment horizontal="center" vertical="center"/>
    </xf>
    <xf numFmtId="4" fontId="0" fillId="0" borderId="55" xfId="0" applyNumberFormat="1" applyBorder="1" applyAlignment="1">
      <alignment horizontal="center" vertical="center" wrapText="1"/>
    </xf>
    <xf numFmtId="4" fontId="0" fillId="0" borderId="79" xfId="0" applyNumberFormat="1" applyBorder="1" applyAlignment="1">
      <alignment horizontal="center" vertical="center" wrapText="1"/>
    </xf>
    <xf numFmtId="4" fontId="3" fillId="4" borderId="34" xfId="0" applyNumberFormat="1" applyFont="1" applyFill="1" applyBorder="1" applyAlignment="1">
      <alignment horizontal="left" vertical="center" wrapText="1"/>
    </xf>
    <xf numFmtId="4" fontId="3" fillId="5" borderId="81" xfId="0" applyNumberFormat="1" applyFont="1" applyFill="1" applyBorder="1" applyAlignment="1">
      <alignment horizontal="left" vertical="center" wrapText="1"/>
    </xf>
    <xf numFmtId="168" fontId="0" fillId="3" borderId="31" xfId="0" applyNumberFormat="1" applyFill="1" applyBorder="1" applyAlignment="1">
      <alignment horizontal="center" vertical="center"/>
    </xf>
    <xf numFmtId="164" fontId="3" fillId="0" borderId="27" xfId="2" applyFont="1" applyFill="1" applyBorder="1" applyAlignment="1" applyProtection="1">
      <alignment vertical="center"/>
    </xf>
    <xf numFmtId="164" fontId="3" fillId="0" borderId="28" xfId="2" applyFont="1" applyFill="1" applyBorder="1" applyAlignment="1" applyProtection="1">
      <alignment vertical="center"/>
    </xf>
    <xf numFmtId="164" fontId="3" fillId="0" borderId="29" xfId="2" applyFont="1" applyFill="1" applyBorder="1" applyAlignment="1" applyProtection="1">
      <alignment vertical="center"/>
    </xf>
    <xf numFmtId="1" fontId="4" fillId="4" borderId="82" xfId="0" applyNumberFormat="1" applyFont="1" applyFill="1" applyBorder="1" applyAlignment="1">
      <alignment horizontal="center" vertical="center"/>
    </xf>
    <xf numFmtId="43" fontId="0" fillId="0" borderId="72" xfId="1" applyFont="1" applyBorder="1" applyAlignment="1">
      <alignment vertical="center"/>
    </xf>
    <xf numFmtId="0" fontId="2" fillId="3" borderId="26" xfId="0" applyFont="1" applyFill="1" applyBorder="1" applyAlignment="1">
      <alignment vertical="center"/>
    </xf>
    <xf numFmtId="167" fontId="0" fillId="3" borderId="31" xfId="0" applyNumberFormat="1" applyFill="1" applyBorder="1" applyAlignment="1">
      <alignment horizontal="center" vertical="center"/>
    </xf>
    <xf numFmtId="0" fontId="3" fillId="3" borderId="34" xfId="0" applyFont="1" applyFill="1" applyBorder="1" applyAlignment="1">
      <alignment horizontal="left" vertical="center"/>
    </xf>
    <xf numFmtId="0" fontId="3" fillId="3" borderId="31" xfId="0" applyFont="1" applyFill="1" applyBorder="1" applyAlignment="1">
      <alignment horizontal="left" vertical="center"/>
    </xf>
    <xf numFmtId="0" fontId="3" fillId="3" borderId="32" xfId="0" applyFont="1" applyFill="1" applyBorder="1" applyAlignment="1">
      <alignment horizontal="left" vertical="center"/>
    </xf>
    <xf numFmtId="0" fontId="3" fillId="3" borderId="33" xfId="0" applyFont="1" applyFill="1" applyBorder="1" applyAlignment="1">
      <alignment horizontal="left" vertical="center"/>
    </xf>
    <xf numFmtId="0" fontId="3" fillId="3" borderId="35" xfId="0" applyFont="1" applyFill="1" applyBorder="1" applyAlignment="1">
      <alignment horizontal="left" vertical="center"/>
    </xf>
    <xf numFmtId="0" fontId="0" fillId="3" borderId="0" xfId="0" applyFill="1" applyAlignment="1">
      <alignment vertical="center"/>
    </xf>
    <xf numFmtId="43" fontId="0" fillId="3" borderId="0" xfId="0" applyNumberFormat="1" applyFill="1" applyAlignment="1">
      <alignment vertical="center"/>
    </xf>
    <xf numFmtId="0" fontId="0" fillId="3" borderId="32" xfId="0" applyFill="1" applyBorder="1" applyAlignment="1">
      <alignment horizontal="center" vertical="center"/>
    </xf>
    <xf numFmtId="165" fontId="0" fillId="3" borderId="33" xfId="0" applyNumberFormat="1" applyFill="1" applyBorder="1" applyAlignment="1">
      <alignment vertical="center"/>
    </xf>
    <xf numFmtId="0" fontId="0" fillId="3" borderId="72" xfId="0" applyFill="1" applyBorder="1" applyAlignment="1">
      <alignment horizontal="center" vertical="center"/>
    </xf>
    <xf numFmtId="0" fontId="3" fillId="3" borderId="72" xfId="0" applyFont="1" applyFill="1" applyBorder="1" applyAlignment="1">
      <alignment horizontal="left" vertical="center"/>
    </xf>
    <xf numFmtId="0" fontId="0" fillId="3" borderId="82" xfId="0" applyFill="1" applyBorder="1" applyAlignment="1">
      <alignment horizontal="center" vertical="center"/>
    </xf>
    <xf numFmtId="0" fontId="0" fillId="5" borderId="82" xfId="0" applyFill="1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33" xfId="0" applyBorder="1"/>
    <xf numFmtId="0" fontId="0" fillId="0" borderId="83" xfId="0" applyBorder="1"/>
    <xf numFmtId="165" fontId="0" fillId="0" borderId="34" xfId="0" applyNumberFormat="1" applyBorder="1" applyAlignment="1">
      <alignment vertical="center"/>
    </xf>
    <xf numFmtId="43" fontId="0" fillId="0" borderId="72" xfId="0" applyNumberFormat="1" applyBorder="1" applyAlignment="1">
      <alignment vertical="center"/>
    </xf>
    <xf numFmtId="0" fontId="0" fillId="0" borderId="33" xfId="0" applyBorder="1" applyAlignment="1">
      <alignment horizontal="left" vertical="center"/>
    </xf>
    <xf numFmtId="1" fontId="4" fillId="5" borderId="48" xfId="0" applyNumberFormat="1" applyFont="1" applyFill="1" applyBorder="1" applyAlignment="1">
      <alignment horizontal="center" vertical="center"/>
    </xf>
    <xf numFmtId="0" fontId="3" fillId="0" borderId="33" xfId="0" applyFont="1" applyBorder="1"/>
    <xf numFmtId="169" fontId="3" fillId="0" borderId="36" xfId="1" applyNumberFormat="1" applyFont="1" applyBorder="1" applyAlignment="1">
      <alignment vertical="center"/>
    </xf>
    <xf numFmtId="165" fontId="3" fillId="0" borderId="33" xfId="0" applyNumberFormat="1" applyFont="1" applyBorder="1" applyAlignment="1">
      <alignment vertical="center"/>
    </xf>
    <xf numFmtId="164" fontId="3" fillId="0" borderId="86" xfId="2" applyFont="1" applyFill="1" applyBorder="1" applyAlignment="1" applyProtection="1">
      <alignment horizontal="center" vertical="center"/>
    </xf>
    <xf numFmtId="164" fontId="3" fillId="0" borderId="87" xfId="2" applyFont="1" applyFill="1" applyBorder="1" applyAlignment="1" applyProtection="1">
      <alignment horizontal="center" vertical="center"/>
    </xf>
    <xf numFmtId="164" fontId="3" fillId="0" borderId="88" xfId="2" applyFont="1" applyFill="1" applyBorder="1" applyAlignment="1" applyProtection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" fontId="0" fillId="0" borderId="56" xfId="0" applyNumberFormat="1" applyBorder="1" applyAlignment="1">
      <alignment horizontal="center" vertical="center" wrapText="1"/>
    </xf>
    <xf numFmtId="4" fontId="0" fillId="0" borderId="19" xfId="0" applyNumberFormat="1" applyBorder="1" applyAlignment="1">
      <alignment horizontal="center" vertical="center" wrapText="1"/>
    </xf>
    <xf numFmtId="165" fontId="0" fillId="5" borderId="48" xfId="0" applyNumberFormat="1" applyFill="1" applyBorder="1" applyAlignment="1">
      <alignment horizontal="center" vertical="center"/>
    </xf>
    <xf numFmtId="170" fontId="0" fillId="0" borderId="72" xfId="0" applyNumberFormat="1" applyBorder="1" applyAlignment="1">
      <alignment horizontal="center" vertical="center"/>
    </xf>
    <xf numFmtId="165" fontId="3" fillId="0" borderId="14" xfId="0" applyNumberFormat="1" applyFont="1" applyBorder="1" applyAlignment="1">
      <alignment horizontal="center" vertical="center"/>
    </xf>
    <xf numFmtId="4" fontId="3" fillId="0" borderId="59" xfId="0" applyNumberFormat="1" applyFont="1" applyBorder="1" applyAlignment="1">
      <alignment horizontal="center" vertical="center" wrapText="1"/>
    </xf>
    <xf numFmtId="0" fontId="3" fillId="0" borderId="89" xfId="0" applyFont="1" applyBorder="1" applyAlignment="1">
      <alignment horizontal="center" vertical="center"/>
    </xf>
    <xf numFmtId="0" fontId="3" fillId="5" borderId="82" xfId="0" applyFont="1" applyFill="1" applyBorder="1" applyAlignment="1">
      <alignment horizontal="left" vertical="center"/>
    </xf>
    <xf numFmtId="0" fontId="3" fillId="3" borderId="82" xfId="0" applyFont="1" applyFill="1" applyBorder="1" applyAlignment="1">
      <alignment horizontal="left" vertical="center"/>
    </xf>
    <xf numFmtId="165" fontId="0" fillId="0" borderId="82" xfId="0" applyNumberFormat="1" applyBorder="1" applyAlignment="1">
      <alignment vertical="center"/>
    </xf>
    <xf numFmtId="165" fontId="0" fillId="5" borderId="82" xfId="0" applyNumberFormat="1" applyFill="1" applyBorder="1" applyAlignment="1">
      <alignment vertical="center"/>
    </xf>
    <xf numFmtId="43" fontId="3" fillId="0" borderId="39" xfId="1" applyFont="1" applyBorder="1" applyAlignment="1">
      <alignment vertical="center"/>
    </xf>
    <xf numFmtId="165" fontId="3" fillId="0" borderId="90" xfId="0" applyNumberFormat="1" applyFont="1" applyBorder="1" applyAlignment="1">
      <alignment horizontal="center" vertical="center" wrapText="1"/>
    </xf>
    <xf numFmtId="165" fontId="0" fillId="3" borderId="82" xfId="0" applyNumberFormat="1" applyFill="1" applyBorder="1" applyAlignment="1">
      <alignment vertical="center"/>
    </xf>
    <xf numFmtId="164" fontId="3" fillId="0" borderId="0" xfId="2" applyFont="1" applyFill="1" applyBorder="1" applyAlignment="1" applyProtection="1">
      <alignment horizontal="center" vertical="center"/>
    </xf>
    <xf numFmtId="164" fontId="6" fillId="6" borderId="0" xfId="2" applyFont="1" applyFill="1" applyBorder="1" applyAlignment="1" applyProtection="1">
      <alignment horizontal="center" vertical="center"/>
    </xf>
    <xf numFmtId="4" fontId="3" fillId="0" borderId="21" xfId="0" applyNumberFormat="1" applyFont="1" applyBorder="1" applyAlignment="1">
      <alignment horizontal="center" vertical="top" wrapText="1"/>
    </xf>
    <xf numFmtId="44" fontId="3" fillId="3" borderId="33" xfId="0" applyNumberFormat="1" applyFont="1" applyFill="1" applyBorder="1" applyAlignment="1">
      <alignment horizontal="left" vertical="center"/>
    </xf>
    <xf numFmtId="44" fontId="0" fillId="5" borderId="32" xfId="0" applyNumberFormat="1" applyFill="1" applyBorder="1" applyAlignment="1">
      <alignment horizontal="center" vertical="center"/>
    </xf>
    <xf numFmtId="0" fontId="0" fillId="7" borderId="33" xfId="0" applyFill="1" applyBorder="1"/>
    <xf numFmtId="165" fontId="0" fillId="7" borderId="33" xfId="0" applyNumberFormat="1" applyFill="1" applyBorder="1" applyAlignment="1">
      <alignment vertical="center"/>
    </xf>
    <xf numFmtId="0" fontId="2" fillId="7" borderId="26" xfId="0" applyFont="1" applyFill="1" applyBorder="1" applyAlignment="1">
      <alignment vertical="center"/>
    </xf>
    <xf numFmtId="0" fontId="0" fillId="7" borderId="82" xfId="0" applyFill="1" applyBorder="1" applyAlignment="1">
      <alignment horizontal="center" vertical="center"/>
    </xf>
    <xf numFmtId="43" fontId="0" fillId="7" borderId="32" xfId="1" applyFont="1" applyFill="1" applyBorder="1" applyAlignment="1">
      <alignment vertical="center"/>
    </xf>
    <xf numFmtId="43" fontId="0" fillId="7" borderId="72" xfId="1" applyFont="1" applyFill="1" applyBorder="1" applyAlignment="1">
      <alignment vertical="center"/>
    </xf>
    <xf numFmtId="39" fontId="0" fillId="7" borderId="31" xfId="0" applyNumberFormat="1" applyFill="1" applyBorder="1" applyAlignment="1">
      <alignment vertical="center"/>
    </xf>
    <xf numFmtId="165" fontId="0" fillId="7" borderId="32" xfId="0" applyNumberFormat="1" applyFill="1" applyBorder="1" applyAlignment="1">
      <alignment vertical="center"/>
    </xf>
    <xf numFmtId="165" fontId="0" fillId="7" borderId="82" xfId="0" applyNumberFormat="1" applyFill="1" applyBorder="1" applyAlignment="1">
      <alignment vertical="center"/>
    </xf>
    <xf numFmtId="168" fontId="0" fillId="7" borderId="31" xfId="0" applyNumberFormat="1" applyFill="1" applyBorder="1" applyAlignment="1">
      <alignment horizontal="center" vertical="center"/>
    </xf>
    <xf numFmtId="43" fontId="0" fillId="7" borderId="34" xfId="1" applyFont="1" applyFill="1" applyBorder="1" applyAlignment="1">
      <alignment vertical="center"/>
    </xf>
    <xf numFmtId="165" fontId="0" fillId="7" borderId="35" xfId="0" applyNumberFormat="1" applyFill="1" applyBorder="1" applyAlignment="1">
      <alignment vertical="center"/>
    </xf>
    <xf numFmtId="0" fontId="0" fillId="7" borderId="0" xfId="0" applyFill="1" applyAlignment="1">
      <alignment vertical="center"/>
    </xf>
    <xf numFmtId="43" fontId="0" fillId="7" borderId="0" xfId="0" applyNumberFormat="1" applyFill="1" applyAlignment="1">
      <alignment vertical="center"/>
    </xf>
    <xf numFmtId="165" fontId="0" fillId="7" borderId="34" xfId="0" applyNumberFormat="1" applyFill="1" applyBorder="1" applyAlignment="1">
      <alignment vertical="center"/>
    </xf>
    <xf numFmtId="4" fontId="3" fillId="0" borderId="64" xfId="0" applyNumberFormat="1" applyFont="1" applyBorder="1" applyAlignment="1">
      <alignment vertical="center" wrapText="1"/>
    </xf>
    <xf numFmtId="4" fontId="3" fillId="0" borderId="39" xfId="0" applyNumberFormat="1" applyFont="1" applyBorder="1" applyAlignment="1">
      <alignment vertical="center" wrapText="1"/>
    </xf>
    <xf numFmtId="0" fontId="0" fillId="0" borderId="32" xfId="1" applyNumberFormat="1" applyFont="1" applyBorder="1" applyAlignment="1">
      <alignment vertical="center"/>
    </xf>
    <xf numFmtId="170" fontId="0" fillId="0" borderId="82" xfId="0" applyNumberFormat="1" applyBorder="1" applyAlignment="1">
      <alignment horizontal="center" vertical="center"/>
    </xf>
    <xf numFmtId="44" fontId="3" fillId="3" borderId="32" xfId="0" applyNumberFormat="1" applyFont="1" applyFill="1" applyBorder="1" applyAlignment="1">
      <alignment horizontal="center" vertical="center"/>
    </xf>
    <xf numFmtId="43" fontId="0" fillId="0" borderId="32" xfId="1" applyFont="1" applyFill="1" applyBorder="1" applyAlignment="1">
      <alignment vertical="center"/>
    </xf>
    <xf numFmtId="43" fontId="0" fillId="0" borderId="72" xfId="1" applyFont="1" applyFill="1" applyBorder="1" applyAlignment="1">
      <alignment vertical="center"/>
    </xf>
    <xf numFmtId="39" fontId="0" fillId="0" borderId="31" xfId="0" applyNumberFormat="1" applyBorder="1" applyAlignment="1">
      <alignment vertical="center"/>
    </xf>
    <xf numFmtId="168" fontId="0" fillId="0" borderId="31" xfId="0" applyNumberFormat="1" applyBorder="1" applyAlignment="1">
      <alignment horizontal="center" vertical="center"/>
    </xf>
    <xf numFmtId="43" fontId="0" fillId="0" borderId="34" xfId="1" applyFont="1" applyFill="1" applyBorder="1" applyAlignment="1">
      <alignment vertical="center"/>
    </xf>
    <xf numFmtId="165" fontId="0" fillId="0" borderId="35" xfId="0" applyNumberFormat="1" applyBorder="1" applyAlignment="1">
      <alignment vertical="center"/>
    </xf>
    <xf numFmtId="0" fontId="2" fillId="3" borderId="93" xfId="0" applyFont="1" applyFill="1" applyBorder="1" applyAlignment="1">
      <alignment vertical="center"/>
    </xf>
    <xf numFmtId="167" fontId="0" fillId="3" borderId="27" xfId="0" applyNumberForma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left" vertical="center"/>
    </xf>
    <xf numFmtId="0" fontId="0" fillId="3" borderId="89" xfId="0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76" xfId="0" applyFill="1" applyBorder="1" applyAlignment="1">
      <alignment horizontal="center" vertical="center"/>
    </xf>
    <xf numFmtId="44" fontId="3" fillId="3" borderId="29" xfId="0" applyNumberFormat="1" applyFont="1" applyFill="1" applyBorder="1" applyAlignment="1">
      <alignment horizontal="left" vertical="center"/>
    </xf>
    <xf numFmtId="0" fontId="0" fillId="3" borderId="27" xfId="0" applyFill="1" applyBorder="1" applyAlignment="1">
      <alignment horizontal="center" vertical="center"/>
    </xf>
    <xf numFmtId="165" fontId="0" fillId="3" borderId="28" xfId="0" applyNumberFormat="1" applyFill="1" applyBorder="1" applyAlignment="1">
      <alignment vertical="center"/>
    </xf>
    <xf numFmtId="165" fontId="0" fillId="3" borderId="29" xfId="0" applyNumberFormat="1" applyFill="1" applyBorder="1" applyAlignment="1">
      <alignment vertical="center"/>
    </xf>
    <xf numFmtId="165" fontId="0" fillId="3" borderId="89" xfId="0" applyNumberFormat="1" applyFill="1" applyBorder="1" applyAlignment="1">
      <alignment vertical="center"/>
    </xf>
    <xf numFmtId="43" fontId="0" fillId="3" borderId="28" xfId="1" applyFont="1" applyFill="1" applyBorder="1" applyAlignment="1">
      <alignment vertical="center"/>
    </xf>
    <xf numFmtId="43" fontId="0" fillId="3" borderId="30" xfId="1" applyFont="1" applyFill="1" applyBorder="1" applyAlignment="1">
      <alignment vertical="center"/>
    </xf>
    <xf numFmtId="165" fontId="0" fillId="3" borderId="94" xfId="0" applyNumberFormat="1" applyFill="1" applyBorder="1" applyAlignment="1">
      <alignment vertical="center"/>
    </xf>
    <xf numFmtId="0" fontId="2" fillId="0" borderId="95" xfId="0" applyFont="1" applyBorder="1" applyAlignment="1">
      <alignment vertical="center"/>
    </xf>
    <xf numFmtId="0" fontId="0" fillId="0" borderId="97" xfId="0" applyBorder="1" applyAlignment="1">
      <alignment horizontal="center" vertical="center"/>
    </xf>
    <xf numFmtId="43" fontId="0" fillId="0" borderId="98" xfId="1" applyFont="1" applyFill="1" applyBorder="1" applyAlignment="1">
      <alignment vertical="center"/>
    </xf>
    <xf numFmtId="43" fontId="0" fillId="0" borderId="99" xfId="1" applyFont="1" applyFill="1" applyBorder="1" applyAlignment="1">
      <alignment vertical="center"/>
    </xf>
    <xf numFmtId="165" fontId="0" fillId="0" borderId="83" xfId="0" applyNumberFormat="1" applyBorder="1" applyAlignment="1">
      <alignment vertical="center"/>
    </xf>
    <xf numFmtId="39" fontId="0" fillId="0" borderId="96" xfId="0" applyNumberFormat="1" applyBorder="1" applyAlignment="1">
      <alignment vertical="center"/>
    </xf>
    <xf numFmtId="165" fontId="0" fillId="0" borderId="98" xfId="0" applyNumberFormat="1" applyBorder="1" applyAlignment="1">
      <alignment vertical="center"/>
    </xf>
    <xf numFmtId="165" fontId="0" fillId="0" borderId="97" xfId="0" applyNumberFormat="1" applyBorder="1" applyAlignment="1">
      <alignment vertical="center"/>
    </xf>
    <xf numFmtId="168" fontId="0" fillId="0" borderId="96" xfId="0" applyNumberFormat="1" applyBorder="1" applyAlignment="1">
      <alignment horizontal="center" vertical="center"/>
    </xf>
    <xf numFmtId="43" fontId="0" fillId="0" borderId="100" xfId="1" applyFont="1" applyFill="1" applyBorder="1" applyAlignment="1">
      <alignment vertical="center"/>
    </xf>
    <xf numFmtId="165" fontId="0" fillId="0" borderId="101" xfId="0" applyNumberFormat="1" applyBorder="1" applyAlignment="1">
      <alignment vertical="center"/>
    </xf>
    <xf numFmtId="0" fontId="0" fillId="0" borderId="64" xfId="0" applyBorder="1" applyAlignment="1">
      <alignment vertical="center"/>
    </xf>
    <xf numFmtId="43" fontId="0" fillId="0" borderId="64" xfId="0" applyNumberFormat="1" applyBorder="1" applyAlignment="1">
      <alignment vertical="center"/>
    </xf>
    <xf numFmtId="165" fontId="0" fillId="0" borderId="72" xfId="0" applyNumberFormat="1" applyBorder="1" applyAlignment="1">
      <alignment vertical="center"/>
    </xf>
    <xf numFmtId="0" fontId="0" fillId="0" borderId="19" xfId="0" applyBorder="1" applyAlignment="1">
      <alignment horizontal="center" vertical="center"/>
    </xf>
    <xf numFmtId="165" fontId="3" fillId="7" borderId="49" xfId="0" applyNumberFormat="1" applyFont="1" applyFill="1" applyBorder="1" applyAlignment="1">
      <alignment vertical="center"/>
    </xf>
    <xf numFmtId="1" fontId="4" fillId="7" borderId="48" xfId="0" applyNumberFormat="1" applyFont="1" applyFill="1" applyBorder="1" applyAlignment="1">
      <alignment horizontal="right" vertical="center"/>
    </xf>
    <xf numFmtId="43" fontId="0" fillId="7" borderId="46" xfId="1" applyFont="1" applyFill="1" applyBorder="1" applyAlignment="1">
      <alignment vertical="center"/>
    </xf>
    <xf numFmtId="4" fontId="3" fillId="0" borderId="91" xfId="0" applyNumberFormat="1" applyFont="1" applyBorder="1" applyAlignment="1">
      <alignment horizontal="left" vertical="center" wrapText="1"/>
    </xf>
    <xf numFmtId="4" fontId="3" fillId="0" borderId="92" xfId="0" applyNumberFormat="1" applyFont="1" applyBorder="1" applyAlignment="1">
      <alignment horizontal="left" vertical="center" wrapText="1"/>
    </xf>
    <xf numFmtId="4" fontId="3" fillId="0" borderId="38" xfId="0" applyNumberFormat="1" applyFont="1" applyBorder="1" applyAlignment="1">
      <alignment horizontal="left" vertical="center" wrapText="1"/>
    </xf>
    <xf numFmtId="4" fontId="3" fillId="0" borderId="39" xfId="0" applyNumberFormat="1" applyFont="1" applyBorder="1" applyAlignment="1">
      <alignment horizontal="left" vertical="center" wrapText="1"/>
    </xf>
    <xf numFmtId="164" fontId="3" fillId="0" borderId="63" xfId="2" applyFont="1" applyFill="1" applyBorder="1" applyAlignment="1" applyProtection="1">
      <alignment horizontal="center" vertical="center"/>
    </xf>
    <xf numFmtId="164" fontId="3" fillId="0" borderId="64" xfId="2" applyFont="1" applyFill="1" applyBorder="1" applyAlignment="1" applyProtection="1">
      <alignment horizontal="center" vertical="center"/>
    </xf>
    <xf numFmtId="164" fontId="3" fillId="0" borderId="65" xfId="2" applyFont="1" applyFill="1" applyBorder="1" applyAlignment="1" applyProtection="1">
      <alignment horizontal="center" vertical="center"/>
    </xf>
    <xf numFmtId="164" fontId="3" fillId="0" borderId="38" xfId="2" applyFont="1" applyFill="1" applyBorder="1" applyAlignment="1" applyProtection="1">
      <alignment horizontal="center" vertical="center"/>
    </xf>
    <xf numFmtId="164" fontId="3" fillId="0" borderId="39" xfId="2" applyFont="1" applyFill="1" applyBorder="1" applyAlignment="1" applyProtection="1">
      <alignment horizontal="center" vertical="center"/>
    </xf>
    <xf numFmtId="164" fontId="3" fillId="0" borderId="43" xfId="2" applyFont="1" applyFill="1" applyBorder="1" applyAlignment="1" applyProtection="1">
      <alignment horizontal="center" vertical="center"/>
    </xf>
    <xf numFmtId="164" fontId="3" fillId="0" borderId="60" xfId="2" applyFont="1" applyFill="1" applyBorder="1" applyAlignment="1" applyProtection="1">
      <alignment horizontal="center" vertical="center"/>
    </xf>
    <xf numFmtId="164" fontId="3" fillId="0" borderId="61" xfId="2" applyFont="1" applyFill="1" applyBorder="1" applyAlignment="1" applyProtection="1">
      <alignment horizontal="center" vertical="center"/>
    </xf>
    <xf numFmtId="164" fontId="3" fillId="0" borderId="62" xfId="2" applyFont="1" applyFill="1" applyBorder="1" applyAlignment="1" applyProtection="1">
      <alignment horizontal="center" vertical="center"/>
    </xf>
    <xf numFmtId="164" fontId="6" fillId="6" borderId="66" xfId="2" applyFont="1" applyFill="1" applyBorder="1" applyAlignment="1" applyProtection="1">
      <alignment horizontal="center" vertical="center"/>
    </xf>
    <xf numFmtId="164" fontId="6" fillId="6" borderId="50" xfId="2" applyFont="1" applyFill="1" applyBorder="1" applyAlignment="1" applyProtection="1">
      <alignment horizontal="center" vertical="center"/>
    </xf>
    <xf numFmtId="164" fontId="6" fillId="6" borderId="67" xfId="2" applyFont="1" applyFill="1" applyBorder="1" applyAlignment="1" applyProtection="1">
      <alignment horizontal="center" vertical="center"/>
    </xf>
    <xf numFmtId="165" fontId="3" fillId="0" borderId="13" xfId="0" applyNumberFormat="1" applyFont="1" applyBorder="1" applyAlignment="1">
      <alignment horizontal="center" vertical="center"/>
    </xf>
    <xf numFmtId="165" fontId="3" fillId="0" borderId="14" xfId="0" applyNumberFormat="1" applyFont="1" applyBorder="1" applyAlignment="1">
      <alignment horizontal="center" vertical="center"/>
    </xf>
    <xf numFmtId="165" fontId="3" fillId="0" borderId="15" xfId="0" applyNumberFormat="1" applyFont="1" applyBorder="1" applyAlignment="1">
      <alignment horizontal="center" vertical="center"/>
    </xf>
    <xf numFmtId="17" fontId="0" fillId="0" borderId="19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3" fillId="0" borderId="76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165" fontId="3" fillId="0" borderId="51" xfId="0" applyNumberFormat="1" applyFont="1" applyBorder="1" applyAlignment="1">
      <alignment horizontal="center" vertical="center" wrapText="1"/>
    </xf>
    <xf numFmtId="165" fontId="3" fillId="0" borderId="52" xfId="0" applyNumberFormat="1" applyFont="1" applyBorder="1" applyAlignment="1">
      <alignment horizontal="center" vertical="center" wrapText="1"/>
    </xf>
    <xf numFmtId="165" fontId="3" fillId="0" borderId="53" xfId="0" applyNumberFormat="1" applyFont="1" applyBorder="1" applyAlignment="1">
      <alignment horizontal="center" vertical="center" wrapText="1"/>
    </xf>
    <xf numFmtId="165" fontId="0" fillId="5" borderId="47" xfId="0" applyNumberFormat="1" applyFill="1" applyBorder="1" applyAlignment="1">
      <alignment horizontal="center" vertical="center"/>
    </xf>
    <xf numFmtId="165" fontId="0" fillId="5" borderId="48" xfId="0" applyNumberFormat="1" applyFill="1" applyBorder="1" applyAlignment="1">
      <alignment horizontal="center" vertical="center"/>
    </xf>
    <xf numFmtId="165" fontId="0" fillId="5" borderId="49" xfId="0" applyNumberFormat="1" applyFill="1" applyBorder="1" applyAlignment="1">
      <alignment horizontal="center" vertical="center"/>
    </xf>
    <xf numFmtId="164" fontId="3" fillId="0" borderId="58" xfId="2" applyFont="1" applyFill="1" applyBorder="1" applyAlignment="1" applyProtection="1">
      <alignment horizontal="center" vertical="center"/>
    </xf>
    <xf numFmtId="164" fontId="3" fillId="0" borderId="59" xfId="2" applyFont="1" applyFill="1" applyBorder="1" applyAlignment="1" applyProtection="1">
      <alignment horizontal="center" vertical="center"/>
    </xf>
    <xf numFmtId="164" fontId="3" fillId="0" borderId="25" xfId="2" applyFont="1" applyFill="1" applyBorder="1" applyAlignment="1" applyProtection="1">
      <alignment horizontal="center" vertical="center"/>
    </xf>
    <xf numFmtId="4" fontId="3" fillId="0" borderId="43" xfId="0" applyNumberFormat="1" applyFont="1" applyBorder="1" applyAlignment="1">
      <alignment horizontal="left" vertical="center" wrapText="1"/>
    </xf>
    <xf numFmtId="4" fontId="6" fillId="6" borderId="66" xfId="0" applyNumberFormat="1" applyFont="1" applyFill="1" applyBorder="1" applyAlignment="1">
      <alignment horizontal="right" vertical="center" wrapText="1"/>
    </xf>
    <xf numFmtId="4" fontId="6" fillId="6" borderId="50" xfId="0" applyNumberFormat="1" applyFont="1" applyFill="1" applyBorder="1" applyAlignment="1">
      <alignment horizontal="right" vertical="center" wrapText="1"/>
    </xf>
    <xf numFmtId="4" fontId="3" fillId="0" borderId="60" xfId="0" applyNumberFormat="1" applyFont="1" applyBorder="1" applyAlignment="1">
      <alignment horizontal="right" vertical="center" wrapText="1"/>
    </xf>
    <xf numFmtId="4" fontId="3" fillId="0" borderId="61" xfId="0" applyNumberFormat="1" applyFont="1" applyBorder="1" applyAlignment="1">
      <alignment horizontal="right" vertical="center" wrapText="1"/>
    </xf>
    <xf numFmtId="1" fontId="4" fillId="7" borderId="47" xfId="0" applyNumberFormat="1" applyFont="1" applyFill="1" applyBorder="1" applyAlignment="1">
      <alignment horizontal="right" vertical="center"/>
    </xf>
    <xf numFmtId="1" fontId="4" fillId="7" borderId="48" xfId="0" applyNumberFormat="1" applyFont="1" applyFill="1" applyBorder="1" applyAlignment="1">
      <alignment horizontal="right" vertical="center"/>
    </xf>
    <xf numFmtId="0" fontId="0" fillId="0" borderId="55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66" xfId="0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4" fontId="3" fillId="0" borderId="84" xfId="0" applyNumberFormat="1" applyFont="1" applyBorder="1" applyAlignment="1">
      <alignment horizontal="left" vertical="center" wrapText="1"/>
    </xf>
    <xf numFmtId="4" fontId="3" fillId="0" borderId="85" xfId="0" applyNumberFormat="1" applyFont="1" applyBorder="1" applyAlignment="1">
      <alignment horizontal="left" vertical="center" wrapText="1"/>
    </xf>
    <xf numFmtId="165" fontId="0" fillId="0" borderId="56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4" fontId="3" fillId="0" borderId="58" xfId="0" applyNumberFormat="1" applyFont="1" applyBorder="1" applyAlignment="1">
      <alignment horizontal="left" vertical="center" wrapText="1"/>
    </xf>
    <xf numFmtId="4" fontId="3" fillId="0" borderId="59" xfId="0" applyNumberFormat="1" applyFont="1" applyBorder="1" applyAlignment="1">
      <alignment horizontal="left" vertical="center" wrapText="1"/>
    </xf>
    <xf numFmtId="4" fontId="3" fillId="0" borderId="25" xfId="0" applyNumberFormat="1" applyFont="1" applyBorder="1" applyAlignment="1">
      <alignment horizontal="left" vertical="center" wrapText="1"/>
    </xf>
    <xf numFmtId="165" fontId="3" fillId="3" borderId="51" xfId="0" applyNumberFormat="1" applyFont="1" applyFill="1" applyBorder="1" applyAlignment="1">
      <alignment horizontal="center" vertical="center" wrapText="1"/>
    </xf>
    <xf numFmtId="165" fontId="3" fillId="3" borderId="52" xfId="0" applyNumberFormat="1" applyFont="1" applyFill="1" applyBorder="1" applyAlignment="1">
      <alignment horizontal="center" vertical="center" wrapText="1"/>
    </xf>
    <xf numFmtId="165" fontId="3" fillId="3" borderId="53" xfId="0" applyNumberFormat="1" applyFont="1" applyFill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" fillId="3" borderId="27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3" fillId="3" borderId="30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39" fontId="3" fillId="3" borderId="17" xfId="0" applyNumberFormat="1" applyFont="1" applyFill="1" applyBorder="1" applyAlignment="1">
      <alignment horizontal="center" vertical="center"/>
    </xf>
    <xf numFmtId="39" fontId="3" fillId="3" borderId="19" xfId="0" applyNumberFormat="1" applyFont="1" applyFill="1" applyBorder="1" applyAlignment="1">
      <alignment horizontal="center" vertical="center"/>
    </xf>
    <xf numFmtId="39" fontId="3" fillId="3" borderId="18" xfId="0" applyNumberFormat="1" applyFont="1" applyFill="1" applyBorder="1" applyAlignment="1">
      <alignment horizontal="center" vertical="center"/>
    </xf>
    <xf numFmtId="165" fontId="3" fillId="3" borderId="14" xfId="0" applyNumberFormat="1" applyFont="1" applyFill="1" applyBorder="1" applyAlignment="1">
      <alignment horizontal="center" vertical="center"/>
    </xf>
    <xf numFmtId="165" fontId="3" fillId="3" borderId="15" xfId="0" applyNumberFormat="1" applyFont="1" applyFill="1" applyBorder="1" applyAlignment="1">
      <alignment horizontal="center" vertical="center"/>
    </xf>
    <xf numFmtId="4" fontId="3" fillId="0" borderId="18" xfId="0" applyNumberFormat="1" applyFont="1" applyBorder="1" applyAlignment="1">
      <alignment horizontal="left" vertical="center" wrapText="1"/>
    </xf>
    <xf numFmtId="4" fontId="3" fillId="0" borderId="80" xfId="0" applyNumberFormat="1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16" xfId="0" applyNumberFormat="1" applyFont="1" applyBorder="1" applyAlignment="1">
      <alignment horizontal="center" vertical="center"/>
    </xf>
    <xf numFmtId="49" fontId="2" fillId="0" borderId="50" xfId="0" applyNumberFormat="1" applyFont="1" applyBorder="1" applyAlignment="1">
      <alignment horizontal="center" vertical="center"/>
    </xf>
    <xf numFmtId="4" fontId="3" fillId="2" borderId="77" xfId="0" applyNumberFormat="1" applyFont="1" applyFill="1" applyBorder="1" applyAlignment="1">
      <alignment horizontal="left" vertical="center"/>
    </xf>
    <xf numFmtId="4" fontId="3" fillId="2" borderId="78" xfId="0" applyNumberFormat="1" applyFont="1" applyFill="1" applyBorder="1" applyAlignment="1">
      <alignment horizontal="left" vertical="center"/>
    </xf>
    <xf numFmtId="1" fontId="5" fillId="0" borderId="38" xfId="0" applyNumberFormat="1" applyFont="1" applyBorder="1" applyAlignment="1">
      <alignment horizontal="center" vertical="center"/>
    </xf>
    <xf numFmtId="1" fontId="5" fillId="0" borderId="39" xfId="0" applyNumberFormat="1" applyFont="1" applyBorder="1" applyAlignment="1">
      <alignment horizontal="center" vertical="center"/>
    </xf>
    <xf numFmtId="1" fontId="5" fillId="0" borderId="40" xfId="0" applyNumberFormat="1" applyFont="1" applyBorder="1" applyAlignment="1">
      <alignment horizontal="center" vertical="center"/>
    </xf>
    <xf numFmtId="4" fontId="4" fillId="5" borderId="44" xfId="0" applyNumberFormat="1" applyFont="1" applyFill="1" applyBorder="1" applyAlignment="1">
      <alignment horizontal="center" vertical="center"/>
    </xf>
    <xf numFmtId="4" fontId="4" fillId="5" borderId="46" xfId="0" applyNumberFormat="1" applyFont="1" applyFill="1" applyBorder="1" applyAlignment="1">
      <alignment horizontal="center" vertical="center"/>
    </xf>
  </cellXfs>
  <cellStyles count="3">
    <cellStyle name="Moeda" xfId="2" builtinId="4"/>
    <cellStyle name="Normal" xfId="0" builtinId="0"/>
    <cellStyle name="Vírgula" xfId="1" builtinId="3"/>
  </cellStyles>
  <dxfs count="5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D8EA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133</xdr:row>
      <xdr:rowOff>0</xdr:rowOff>
    </xdr:from>
    <xdr:to>
      <xdr:col>9</xdr:col>
      <xdr:colOff>323850</xdr:colOff>
      <xdr:row>134</xdr:row>
      <xdr:rowOff>0</xdr:rowOff>
    </xdr:to>
    <xdr:sp macro="" textlink="">
      <xdr:nvSpPr>
        <xdr:cNvPr id="2" name="Text Box 6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97726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0</xdr:colOff>
      <xdr:row>133</xdr:row>
      <xdr:rowOff>0</xdr:rowOff>
    </xdr:from>
    <xdr:to>
      <xdr:col>9</xdr:col>
      <xdr:colOff>323850</xdr:colOff>
      <xdr:row>134</xdr:row>
      <xdr:rowOff>0</xdr:rowOff>
    </xdr:to>
    <xdr:sp macro="" textlink="">
      <xdr:nvSpPr>
        <xdr:cNvPr id="3" name="Text Box 69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97726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0</xdr:colOff>
      <xdr:row>133</xdr:row>
      <xdr:rowOff>0</xdr:rowOff>
    </xdr:from>
    <xdr:to>
      <xdr:col>9</xdr:col>
      <xdr:colOff>323850</xdr:colOff>
      <xdr:row>134</xdr:row>
      <xdr:rowOff>0</xdr:rowOff>
    </xdr:to>
    <xdr:sp macro="" textlink="">
      <xdr:nvSpPr>
        <xdr:cNvPr id="4" name="Text Box 695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97726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0</xdr:colOff>
      <xdr:row>133</xdr:row>
      <xdr:rowOff>0</xdr:rowOff>
    </xdr:from>
    <xdr:to>
      <xdr:col>9</xdr:col>
      <xdr:colOff>323850</xdr:colOff>
      <xdr:row>134</xdr:row>
      <xdr:rowOff>0</xdr:rowOff>
    </xdr:to>
    <xdr:sp macro="" textlink="">
      <xdr:nvSpPr>
        <xdr:cNvPr id="5" name="Text Box 69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97726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0</xdr:colOff>
      <xdr:row>133</xdr:row>
      <xdr:rowOff>0</xdr:rowOff>
    </xdr:from>
    <xdr:to>
      <xdr:col>9</xdr:col>
      <xdr:colOff>323850</xdr:colOff>
      <xdr:row>134</xdr:row>
      <xdr:rowOff>0</xdr:rowOff>
    </xdr:to>
    <xdr:sp macro="" textlink="">
      <xdr:nvSpPr>
        <xdr:cNvPr id="6" name="Text Box 697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97726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0</xdr:colOff>
      <xdr:row>133</xdr:row>
      <xdr:rowOff>0</xdr:rowOff>
    </xdr:from>
    <xdr:to>
      <xdr:col>9</xdr:col>
      <xdr:colOff>323850</xdr:colOff>
      <xdr:row>134</xdr:row>
      <xdr:rowOff>0</xdr:rowOff>
    </xdr:to>
    <xdr:sp macro="" textlink="">
      <xdr:nvSpPr>
        <xdr:cNvPr id="7" name="Text Box 698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97726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0</xdr:colOff>
      <xdr:row>133</xdr:row>
      <xdr:rowOff>0</xdr:rowOff>
    </xdr:from>
    <xdr:to>
      <xdr:col>9</xdr:col>
      <xdr:colOff>323850</xdr:colOff>
      <xdr:row>134</xdr:row>
      <xdr:rowOff>0</xdr:rowOff>
    </xdr:to>
    <xdr:sp macro="" textlink="">
      <xdr:nvSpPr>
        <xdr:cNvPr id="8" name="Text Box 69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97726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0</xdr:colOff>
      <xdr:row>133</xdr:row>
      <xdr:rowOff>0</xdr:rowOff>
    </xdr:from>
    <xdr:to>
      <xdr:col>9</xdr:col>
      <xdr:colOff>323850</xdr:colOff>
      <xdr:row>134</xdr:row>
      <xdr:rowOff>0</xdr:rowOff>
    </xdr:to>
    <xdr:sp macro="" textlink="">
      <xdr:nvSpPr>
        <xdr:cNvPr id="9" name="Text Box 70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97726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0</xdr:colOff>
      <xdr:row>133</xdr:row>
      <xdr:rowOff>0</xdr:rowOff>
    </xdr:from>
    <xdr:to>
      <xdr:col>9</xdr:col>
      <xdr:colOff>323850</xdr:colOff>
      <xdr:row>134</xdr:row>
      <xdr:rowOff>0</xdr:rowOff>
    </xdr:to>
    <xdr:sp macro="" textlink="">
      <xdr:nvSpPr>
        <xdr:cNvPr id="10" name="Text Box 70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rrowheads="1"/>
        </xdr:cNvSpPr>
      </xdr:nvSpPr>
      <xdr:spPr bwMode="auto">
        <a:xfrm>
          <a:off x="97726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0</xdr:colOff>
      <xdr:row>133</xdr:row>
      <xdr:rowOff>0</xdr:rowOff>
    </xdr:from>
    <xdr:to>
      <xdr:col>9</xdr:col>
      <xdr:colOff>323850</xdr:colOff>
      <xdr:row>134</xdr:row>
      <xdr:rowOff>0</xdr:rowOff>
    </xdr:to>
    <xdr:sp macro="" textlink="">
      <xdr:nvSpPr>
        <xdr:cNvPr id="11" name="Text Box 702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97726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0</xdr:colOff>
      <xdr:row>133</xdr:row>
      <xdr:rowOff>0</xdr:rowOff>
    </xdr:from>
    <xdr:to>
      <xdr:col>9</xdr:col>
      <xdr:colOff>323850</xdr:colOff>
      <xdr:row>134</xdr:row>
      <xdr:rowOff>0</xdr:rowOff>
    </xdr:to>
    <xdr:sp macro="" textlink="">
      <xdr:nvSpPr>
        <xdr:cNvPr id="12" name="Text Box 703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Arrowheads="1"/>
        </xdr:cNvSpPr>
      </xdr:nvSpPr>
      <xdr:spPr bwMode="auto">
        <a:xfrm>
          <a:off x="97726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0</xdr:colOff>
      <xdr:row>133</xdr:row>
      <xdr:rowOff>0</xdr:rowOff>
    </xdr:from>
    <xdr:to>
      <xdr:col>9</xdr:col>
      <xdr:colOff>323850</xdr:colOff>
      <xdr:row>134</xdr:row>
      <xdr:rowOff>0</xdr:rowOff>
    </xdr:to>
    <xdr:sp macro="" textlink="">
      <xdr:nvSpPr>
        <xdr:cNvPr id="13" name="Text Box 70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97726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0</xdr:colOff>
      <xdr:row>133</xdr:row>
      <xdr:rowOff>0</xdr:rowOff>
    </xdr:from>
    <xdr:to>
      <xdr:col>9</xdr:col>
      <xdr:colOff>323850</xdr:colOff>
      <xdr:row>134</xdr:row>
      <xdr:rowOff>0</xdr:rowOff>
    </xdr:to>
    <xdr:sp macro="" textlink="">
      <xdr:nvSpPr>
        <xdr:cNvPr id="14" name="Text Box 705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Arrowheads="1"/>
        </xdr:cNvSpPr>
      </xdr:nvSpPr>
      <xdr:spPr bwMode="auto">
        <a:xfrm>
          <a:off x="97726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0</xdr:colOff>
      <xdr:row>133</xdr:row>
      <xdr:rowOff>0</xdr:rowOff>
    </xdr:from>
    <xdr:to>
      <xdr:col>9</xdr:col>
      <xdr:colOff>323850</xdr:colOff>
      <xdr:row>134</xdr:row>
      <xdr:rowOff>0</xdr:rowOff>
    </xdr:to>
    <xdr:sp macro="" textlink="">
      <xdr:nvSpPr>
        <xdr:cNvPr id="15" name="Text Box 706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rrowheads="1"/>
        </xdr:cNvSpPr>
      </xdr:nvSpPr>
      <xdr:spPr bwMode="auto">
        <a:xfrm>
          <a:off x="97726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0</xdr:colOff>
      <xdr:row>133</xdr:row>
      <xdr:rowOff>0</xdr:rowOff>
    </xdr:from>
    <xdr:to>
      <xdr:col>9</xdr:col>
      <xdr:colOff>323850</xdr:colOff>
      <xdr:row>134</xdr:row>
      <xdr:rowOff>0</xdr:rowOff>
    </xdr:to>
    <xdr:sp macro="" textlink="">
      <xdr:nvSpPr>
        <xdr:cNvPr id="16" name="Text Box 707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rrowheads="1"/>
        </xdr:cNvSpPr>
      </xdr:nvSpPr>
      <xdr:spPr bwMode="auto">
        <a:xfrm>
          <a:off x="97726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0</xdr:colOff>
      <xdr:row>133</xdr:row>
      <xdr:rowOff>0</xdr:rowOff>
    </xdr:from>
    <xdr:to>
      <xdr:col>9</xdr:col>
      <xdr:colOff>323850</xdr:colOff>
      <xdr:row>134</xdr:row>
      <xdr:rowOff>0</xdr:rowOff>
    </xdr:to>
    <xdr:sp macro="" textlink="">
      <xdr:nvSpPr>
        <xdr:cNvPr id="17" name="Text Box 708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rrowheads="1"/>
        </xdr:cNvSpPr>
      </xdr:nvSpPr>
      <xdr:spPr bwMode="auto">
        <a:xfrm>
          <a:off x="97726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0</xdr:colOff>
      <xdr:row>133</xdr:row>
      <xdr:rowOff>0</xdr:rowOff>
    </xdr:from>
    <xdr:to>
      <xdr:col>9</xdr:col>
      <xdr:colOff>323850</xdr:colOff>
      <xdr:row>134</xdr:row>
      <xdr:rowOff>0</xdr:rowOff>
    </xdr:to>
    <xdr:sp macro="" textlink="">
      <xdr:nvSpPr>
        <xdr:cNvPr id="18" name="Text Box 709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Arrowheads="1"/>
        </xdr:cNvSpPr>
      </xdr:nvSpPr>
      <xdr:spPr bwMode="auto">
        <a:xfrm>
          <a:off x="97726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0</xdr:colOff>
      <xdr:row>133</xdr:row>
      <xdr:rowOff>0</xdr:rowOff>
    </xdr:from>
    <xdr:to>
      <xdr:col>9</xdr:col>
      <xdr:colOff>323850</xdr:colOff>
      <xdr:row>134</xdr:row>
      <xdr:rowOff>0</xdr:rowOff>
    </xdr:to>
    <xdr:sp macro="" textlink="">
      <xdr:nvSpPr>
        <xdr:cNvPr id="19" name="Text Box 710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ChangeArrowheads="1"/>
        </xdr:cNvSpPr>
      </xdr:nvSpPr>
      <xdr:spPr bwMode="auto">
        <a:xfrm>
          <a:off x="97726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0</xdr:colOff>
      <xdr:row>133</xdr:row>
      <xdr:rowOff>0</xdr:rowOff>
    </xdr:from>
    <xdr:to>
      <xdr:col>9</xdr:col>
      <xdr:colOff>323850</xdr:colOff>
      <xdr:row>134</xdr:row>
      <xdr:rowOff>0</xdr:rowOff>
    </xdr:to>
    <xdr:sp macro="" textlink="">
      <xdr:nvSpPr>
        <xdr:cNvPr id="20" name="Text Box 711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 noChangeArrowheads="1"/>
        </xdr:cNvSpPr>
      </xdr:nvSpPr>
      <xdr:spPr bwMode="auto">
        <a:xfrm>
          <a:off x="97726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0</xdr:colOff>
      <xdr:row>133</xdr:row>
      <xdr:rowOff>0</xdr:rowOff>
    </xdr:from>
    <xdr:to>
      <xdr:col>9</xdr:col>
      <xdr:colOff>323850</xdr:colOff>
      <xdr:row>134</xdr:row>
      <xdr:rowOff>0</xdr:rowOff>
    </xdr:to>
    <xdr:sp macro="" textlink="">
      <xdr:nvSpPr>
        <xdr:cNvPr id="21" name="Text Box 712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>
          <a:spLocks noChangeArrowheads="1"/>
        </xdr:cNvSpPr>
      </xdr:nvSpPr>
      <xdr:spPr bwMode="auto">
        <a:xfrm>
          <a:off x="97726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0</xdr:colOff>
      <xdr:row>133</xdr:row>
      <xdr:rowOff>0</xdr:rowOff>
    </xdr:from>
    <xdr:to>
      <xdr:col>9</xdr:col>
      <xdr:colOff>323850</xdr:colOff>
      <xdr:row>134</xdr:row>
      <xdr:rowOff>0</xdr:rowOff>
    </xdr:to>
    <xdr:sp macro="" textlink="">
      <xdr:nvSpPr>
        <xdr:cNvPr id="22" name="Text Box 713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spLocks noChangeArrowheads="1"/>
        </xdr:cNvSpPr>
      </xdr:nvSpPr>
      <xdr:spPr bwMode="auto">
        <a:xfrm>
          <a:off x="97726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0</xdr:colOff>
      <xdr:row>133</xdr:row>
      <xdr:rowOff>0</xdr:rowOff>
    </xdr:from>
    <xdr:to>
      <xdr:col>9</xdr:col>
      <xdr:colOff>323850</xdr:colOff>
      <xdr:row>134</xdr:row>
      <xdr:rowOff>0</xdr:rowOff>
    </xdr:to>
    <xdr:sp macro="" textlink="">
      <xdr:nvSpPr>
        <xdr:cNvPr id="23" name="Text Box 714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noChangeArrowheads="1"/>
        </xdr:cNvSpPr>
      </xdr:nvSpPr>
      <xdr:spPr bwMode="auto">
        <a:xfrm>
          <a:off x="97726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0</xdr:colOff>
      <xdr:row>133</xdr:row>
      <xdr:rowOff>0</xdr:rowOff>
    </xdr:from>
    <xdr:to>
      <xdr:col>9</xdr:col>
      <xdr:colOff>323850</xdr:colOff>
      <xdr:row>134</xdr:row>
      <xdr:rowOff>0</xdr:rowOff>
    </xdr:to>
    <xdr:sp macro="" textlink="">
      <xdr:nvSpPr>
        <xdr:cNvPr id="24" name="Text Box 715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noChangeArrowheads="1"/>
        </xdr:cNvSpPr>
      </xdr:nvSpPr>
      <xdr:spPr bwMode="auto">
        <a:xfrm>
          <a:off x="97726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0</xdr:colOff>
      <xdr:row>133</xdr:row>
      <xdr:rowOff>0</xdr:rowOff>
    </xdr:from>
    <xdr:to>
      <xdr:col>9</xdr:col>
      <xdr:colOff>323850</xdr:colOff>
      <xdr:row>134</xdr:row>
      <xdr:rowOff>0</xdr:rowOff>
    </xdr:to>
    <xdr:sp macro="" textlink="">
      <xdr:nvSpPr>
        <xdr:cNvPr id="25" name="Text Box 716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>
          <a:spLocks noChangeArrowheads="1"/>
        </xdr:cNvSpPr>
      </xdr:nvSpPr>
      <xdr:spPr bwMode="auto">
        <a:xfrm>
          <a:off x="97726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0</xdr:colOff>
      <xdr:row>133</xdr:row>
      <xdr:rowOff>0</xdr:rowOff>
    </xdr:from>
    <xdr:to>
      <xdr:col>9</xdr:col>
      <xdr:colOff>323850</xdr:colOff>
      <xdr:row>134</xdr:row>
      <xdr:rowOff>0</xdr:rowOff>
    </xdr:to>
    <xdr:sp macro="" textlink="">
      <xdr:nvSpPr>
        <xdr:cNvPr id="26" name="Text Box 717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 noChangeArrowheads="1"/>
        </xdr:cNvSpPr>
      </xdr:nvSpPr>
      <xdr:spPr bwMode="auto">
        <a:xfrm>
          <a:off x="97726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0</xdr:colOff>
      <xdr:row>133</xdr:row>
      <xdr:rowOff>0</xdr:rowOff>
    </xdr:from>
    <xdr:to>
      <xdr:col>9</xdr:col>
      <xdr:colOff>323850</xdr:colOff>
      <xdr:row>134</xdr:row>
      <xdr:rowOff>0</xdr:rowOff>
    </xdr:to>
    <xdr:sp macro="" textlink="">
      <xdr:nvSpPr>
        <xdr:cNvPr id="27" name="Text Box 718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Arrowheads="1"/>
        </xdr:cNvSpPr>
      </xdr:nvSpPr>
      <xdr:spPr bwMode="auto">
        <a:xfrm>
          <a:off x="97726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0</xdr:colOff>
      <xdr:row>133</xdr:row>
      <xdr:rowOff>0</xdr:rowOff>
    </xdr:from>
    <xdr:to>
      <xdr:col>9</xdr:col>
      <xdr:colOff>323850</xdr:colOff>
      <xdr:row>134</xdr:row>
      <xdr:rowOff>0</xdr:rowOff>
    </xdr:to>
    <xdr:sp macro="" textlink="">
      <xdr:nvSpPr>
        <xdr:cNvPr id="28" name="Text Box 719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>
          <a:spLocks noChangeArrowheads="1"/>
        </xdr:cNvSpPr>
      </xdr:nvSpPr>
      <xdr:spPr bwMode="auto">
        <a:xfrm>
          <a:off x="97726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0</xdr:colOff>
      <xdr:row>133</xdr:row>
      <xdr:rowOff>0</xdr:rowOff>
    </xdr:from>
    <xdr:to>
      <xdr:col>9</xdr:col>
      <xdr:colOff>323850</xdr:colOff>
      <xdr:row>134</xdr:row>
      <xdr:rowOff>0</xdr:rowOff>
    </xdr:to>
    <xdr:sp macro="" textlink="">
      <xdr:nvSpPr>
        <xdr:cNvPr id="29" name="Text Box 720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spLocks noChangeArrowheads="1"/>
        </xdr:cNvSpPr>
      </xdr:nvSpPr>
      <xdr:spPr bwMode="auto">
        <a:xfrm>
          <a:off x="97726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0</xdr:colOff>
      <xdr:row>133</xdr:row>
      <xdr:rowOff>0</xdr:rowOff>
    </xdr:from>
    <xdr:to>
      <xdr:col>9</xdr:col>
      <xdr:colOff>323850</xdr:colOff>
      <xdr:row>134</xdr:row>
      <xdr:rowOff>0</xdr:rowOff>
    </xdr:to>
    <xdr:sp macro="" textlink="">
      <xdr:nvSpPr>
        <xdr:cNvPr id="30" name="Text Box 721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>
          <a:spLocks noChangeArrowheads="1"/>
        </xdr:cNvSpPr>
      </xdr:nvSpPr>
      <xdr:spPr bwMode="auto">
        <a:xfrm>
          <a:off x="97726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0</xdr:colOff>
      <xdr:row>133</xdr:row>
      <xdr:rowOff>0</xdr:rowOff>
    </xdr:from>
    <xdr:to>
      <xdr:col>9</xdr:col>
      <xdr:colOff>323850</xdr:colOff>
      <xdr:row>134</xdr:row>
      <xdr:rowOff>0</xdr:rowOff>
    </xdr:to>
    <xdr:sp macro="" textlink="">
      <xdr:nvSpPr>
        <xdr:cNvPr id="31" name="Text Box 722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>
          <a:spLocks noChangeArrowheads="1"/>
        </xdr:cNvSpPr>
      </xdr:nvSpPr>
      <xdr:spPr bwMode="auto">
        <a:xfrm>
          <a:off x="97726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0</xdr:colOff>
      <xdr:row>133</xdr:row>
      <xdr:rowOff>0</xdr:rowOff>
    </xdr:from>
    <xdr:to>
      <xdr:col>9</xdr:col>
      <xdr:colOff>323850</xdr:colOff>
      <xdr:row>134</xdr:row>
      <xdr:rowOff>0</xdr:rowOff>
    </xdr:to>
    <xdr:sp macro="" textlink="">
      <xdr:nvSpPr>
        <xdr:cNvPr id="32" name="Text Box 723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>
          <a:spLocks noChangeArrowheads="1"/>
        </xdr:cNvSpPr>
      </xdr:nvSpPr>
      <xdr:spPr bwMode="auto">
        <a:xfrm>
          <a:off x="97726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0</xdr:colOff>
      <xdr:row>133</xdr:row>
      <xdr:rowOff>0</xdr:rowOff>
    </xdr:from>
    <xdr:to>
      <xdr:col>9</xdr:col>
      <xdr:colOff>323850</xdr:colOff>
      <xdr:row>134</xdr:row>
      <xdr:rowOff>0</xdr:rowOff>
    </xdr:to>
    <xdr:sp macro="" textlink="">
      <xdr:nvSpPr>
        <xdr:cNvPr id="33" name="Text Box 724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>
          <a:spLocks noChangeArrowheads="1"/>
        </xdr:cNvSpPr>
      </xdr:nvSpPr>
      <xdr:spPr bwMode="auto">
        <a:xfrm>
          <a:off x="97726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0</xdr:colOff>
      <xdr:row>133</xdr:row>
      <xdr:rowOff>0</xdr:rowOff>
    </xdr:from>
    <xdr:to>
      <xdr:col>9</xdr:col>
      <xdr:colOff>323850</xdr:colOff>
      <xdr:row>134</xdr:row>
      <xdr:rowOff>0</xdr:rowOff>
    </xdr:to>
    <xdr:sp macro="" textlink="">
      <xdr:nvSpPr>
        <xdr:cNvPr id="34" name="Text Box 725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>
          <a:spLocks noChangeArrowheads="1"/>
        </xdr:cNvSpPr>
      </xdr:nvSpPr>
      <xdr:spPr bwMode="auto">
        <a:xfrm>
          <a:off x="97726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0</xdr:colOff>
      <xdr:row>133</xdr:row>
      <xdr:rowOff>0</xdr:rowOff>
    </xdr:from>
    <xdr:to>
      <xdr:col>9</xdr:col>
      <xdr:colOff>323850</xdr:colOff>
      <xdr:row>134</xdr:row>
      <xdr:rowOff>0</xdr:rowOff>
    </xdr:to>
    <xdr:sp macro="" textlink="">
      <xdr:nvSpPr>
        <xdr:cNvPr id="35" name="Text Box 726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>
          <a:spLocks noChangeArrowheads="1"/>
        </xdr:cNvSpPr>
      </xdr:nvSpPr>
      <xdr:spPr bwMode="auto">
        <a:xfrm>
          <a:off x="97726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0</xdr:colOff>
      <xdr:row>133</xdr:row>
      <xdr:rowOff>0</xdr:rowOff>
    </xdr:from>
    <xdr:to>
      <xdr:col>9</xdr:col>
      <xdr:colOff>323850</xdr:colOff>
      <xdr:row>134</xdr:row>
      <xdr:rowOff>0</xdr:rowOff>
    </xdr:to>
    <xdr:sp macro="" textlink="">
      <xdr:nvSpPr>
        <xdr:cNvPr id="36" name="Text Box 727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>
          <a:spLocks noChangeArrowheads="1"/>
        </xdr:cNvSpPr>
      </xdr:nvSpPr>
      <xdr:spPr bwMode="auto">
        <a:xfrm>
          <a:off x="97726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0</xdr:colOff>
      <xdr:row>133</xdr:row>
      <xdr:rowOff>0</xdr:rowOff>
    </xdr:from>
    <xdr:to>
      <xdr:col>9</xdr:col>
      <xdr:colOff>323850</xdr:colOff>
      <xdr:row>134</xdr:row>
      <xdr:rowOff>0</xdr:rowOff>
    </xdr:to>
    <xdr:sp macro="" textlink="">
      <xdr:nvSpPr>
        <xdr:cNvPr id="37" name="Text Box 728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>
          <a:spLocks noChangeArrowheads="1"/>
        </xdr:cNvSpPr>
      </xdr:nvSpPr>
      <xdr:spPr bwMode="auto">
        <a:xfrm>
          <a:off x="97726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0</xdr:colOff>
      <xdr:row>133</xdr:row>
      <xdr:rowOff>0</xdr:rowOff>
    </xdr:from>
    <xdr:to>
      <xdr:col>9</xdr:col>
      <xdr:colOff>323850</xdr:colOff>
      <xdr:row>134</xdr:row>
      <xdr:rowOff>0</xdr:rowOff>
    </xdr:to>
    <xdr:sp macro="" textlink="">
      <xdr:nvSpPr>
        <xdr:cNvPr id="38" name="Text Box 729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>
          <a:spLocks noChangeArrowheads="1"/>
        </xdr:cNvSpPr>
      </xdr:nvSpPr>
      <xdr:spPr bwMode="auto">
        <a:xfrm>
          <a:off x="97726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0</xdr:colOff>
      <xdr:row>133</xdr:row>
      <xdr:rowOff>0</xdr:rowOff>
    </xdr:from>
    <xdr:to>
      <xdr:col>9</xdr:col>
      <xdr:colOff>323850</xdr:colOff>
      <xdr:row>134</xdr:row>
      <xdr:rowOff>0</xdr:rowOff>
    </xdr:to>
    <xdr:sp macro="" textlink="">
      <xdr:nvSpPr>
        <xdr:cNvPr id="39" name="Text Box 730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>
          <a:spLocks noChangeArrowheads="1"/>
        </xdr:cNvSpPr>
      </xdr:nvSpPr>
      <xdr:spPr bwMode="auto">
        <a:xfrm>
          <a:off x="97726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0</xdr:colOff>
      <xdr:row>133</xdr:row>
      <xdr:rowOff>0</xdr:rowOff>
    </xdr:from>
    <xdr:to>
      <xdr:col>9</xdr:col>
      <xdr:colOff>323850</xdr:colOff>
      <xdr:row>134</xdr:row>
      <xdr:rowOff>0</xdr:rowOff>
    </xdr:to>
    <xdr:sp macro="" textlink="">
      <xdr:nvSpPr>
        <xdr:cNvPr id="40" name="Text Box 731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>
          <a:spLocks noChangeArrowheads="1"/>
        </xdr:cNvSpPr>
      </xdr:nvSpPr>
      <xdr:spPr bwMode="auto">
        <a:xfrm>
          <a:off x="97726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0</xdr:colOff>
      <xdr:row>133</xdr:row>
      <xdr:rowOff>0</xdr:rowOff>
    </xdr:from>
    <xdr:to>
      <xdr:col>9</xdr:col>
      <xdr:colOff>323850</xdr:colOff>
      <xdr:row>134</xdr:row>
      <xdr:rowOff>0</xdr:rowOff>
    </xdr:to>
    <xdr:sp macro="" textlink="">
      <xdr:nvSpPr>
        <xdr:cNvPr id="41" name="Text Box 732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>
          <a:spLocks noChangeArrowheads="1"/>
        </xdr:cNvSpPr>
      </xdr:nvSpPr>
      <xdr:spPr bwMode="auto">
        <a:xfrm>
          <a:off x="97726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0</xdr:colOff>
      <xdr:row>133</xdr:row>
      <xdr:rowOff>0</xdr:rowOff>
    </xdr:from>
    <xdr:to>
      <xdr:col>9</xdr:col>
      <xdr:colOff>323850</xdr:colOff>
      <xdr:row>134</xdr:row>
      <xdr:rowOff>0</xdr:rowOff>
    </xdr:to>
    <xdr:sp macro="" textlink="">
      <xdr:nvSpPr>
        <xdr:cNvPr id="42" name="Text Box 733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>
          <a:spLocks noChangeArrowheads="1"/>
        </xdr:cNvSpPr>
      </xdr:nvSpPr>
      <xdr:spPr bwMode="auto">
        <a:xfrm>
          <a:off x="97726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0</xdr:colOff>
      <xdr:row>133</xdr:row>
      <xdr:rowOff>0</xdr:rowOff>
    </xdr:from>
    <xdr:to>
      <xdr:col>9</xdr:col>
      <xdr:colOff>323850</xdr:colOff>
      <xdr:row>134</xdr:row>
      <xdr:rowOff>0</xdr:rowOff>
    </xdr:to>
    <xdr:sp macro="" textlink="">
      <xdr:nvSpPr>
        <xdr:cNvPr id="43" name="Text Box 734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>
          <a:spLocks noChangeArrowheads="1"/>
        </xdr:cNvSpPr>
      </xdr:nvSpPr>
      <xdr:spPr bwMode="auto">
        <a:xfrm>
          <a:off x="97726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0</xdr:colOff>
      <xdr:row>133</xdr:row>
      <xdr:rowOff>0</xdr:rowOff>
    </xdr:from>
    <xdr:to>
      <xdr:col>9</xdr:col>
      <xdr:colOff>323850</xdr:colOff>
      <xdr:row>134</xdr:row>
      <xdr:rowOff>0</xdr:rowOff>
    </xdr:to>
    <xdr:sp macro="" textlink="">
      <xdr:nvSpPr>
        <xdr:cNvPr id="44" name="Text Box 735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>
          <a:spLocks noChangeArrowheads="1"/>
        </xdr:cNvSpPr>
      </xdr:nvSpPr>
      <xdr:spPr bwMode="auto">
        <a:xfrm>
          <a:off x="97726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0</xdr:colOff>
      <xdr:row>133</xdr:row>
      <xdr:rowOff>0</xdr:rowOff>
    </xdr:from>
    <xdr:to>
      <xdr:col>9</xdr:col>
      <xdr:colOff>323850</xdr:colOff>
      <xdr:row>134</xdr:row>
      <xdr:rowOff>0</xdr:rowOff>
    </xdr:to>
    <xdr:sp macro="" textlink="">
      <xdr:nvSpPr>
        <xdr:cNvPr id="45" name="Text Box 736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>
          <a:spLocks noChangeArrowheads="1"/>
        </xdr:cNvSpPr>
      </xdr:nvSpPr>
      <xdr:spPr bwMode="auto">
        <a:xfrm>
          <a:off x="97726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0</xdr:colOff>
      <xdr:row>133</xdr:row>
      <xdr:rowOff>0</xdr:rowOff>
    </xdr:from>
    <xdr:to>
      <xdr:col>9</xdr:col>
      <xdr:colOff>323850</xdr:colOff>
      <xdr:row>134</xdr:row>
      <xdr:rowOff>0</xdr:rowOff>
    </xdr:to>
    <xdr:sp macro="" textlink="">
      <xdr:nvSpPr>
        <xdr:cNvPr id="46" name="Text Box 737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>
          <a:spLocks noChangeArrowheads="1"/>
        </xdr:cNvSpPr>
      </xdr:nvSpPr>
      <xdr:spPr bwMode="auto">
        <a:xfrm>
          <a:off x="97726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0</xdr:colOff>
      <xdr:row>133</xdr:row>
      <xdr:rowOff>0</xdr:rowOff>
    </xdr:from>
    <xdr:to>
      <xdr:col>9</xdr:col>
      <xdr:colOff>323850</xdr:colOff>
      <xdr:row>134</xdr:row>
      <xdr:rowOff>0</xdr:rowOff>
    </xdr:to>
    <xdr:sp macro="" textlink="">
      <xdr:nvSpPr>
        <xdr:cNvPr id="47" name="Text Box 738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>
          <a:spLocks noChangeArrowheads="1"/>
        </xdr:cNvSpPr>
      </xdr:nvSpPr>
      <xdr:spPr bwMode="auto">
        <a:xfrm>
          <a:off x="97726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0</xdr:colOff>
      <xdr:row>133</xdr:row>
      <xdr:rowOff>0</xdr:rowOff>
    </xdr:from>
    <xdr:to>
      <xdr:col>9</xdr:col>
      <xdr:colOff>323850</xdr:colOff>
      <xdr:row>134</xdr:row>
      <xdr:rowOff>0</xdr:rowOff>
    </xdr:to>
    <xdr:sp macro="" textlink="">
      <xdr:nvSpPr>
        <xdr:cNvPr id="48" name="Text Box 739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>
          <a:spLocks noChangeArrowheads="1"/>
        </xdr:cNvSpPr>
      </xdr:nvSpPr>
      <xdr:spPr bwMode="auto">
        <a:xfrm>
          <a:off x="97726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0</xdr:colOff>
      <xdr:row>133</xdr:row>
      <xdr:rowOff>0</xdr:rowOff>
    </xdr:from>
    <xdr:to>
      <xdr:col>9</xdr:col>
      <xdr:colOff>323850</xdr:colOff>
      <xdr:row>134</xdr:row>
      <xdr:rowOff>0</xdr:rowOff>
    </xdr:to>
    <xdr:sp macro="" textlink="">
      <xdr:nvSpPr>
        <xdr:cNvPr id="49" name="Text Box 740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>
          <a:spLocks noChangeArrowheads="1"/>
        </xdr:cNvSpPr>
      </xdr:nvSpPr>
      <xdr:spPr bwMode="auto">
        <a:xfrm>
          <a:off x="97726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0</xdr:colOff>
      <xdr:row>133</xdr:row>
      <xdr:rowOff>0</xdr:rowOff>
    </xdr:from>
    <xdr:to>
      <xdr:col>9</xdr:col>
      <xdr:colOff>323850</xdr:colOff>
      <xdr:row>134</xdr:row>
      <xdr:rowOff>0</xdr:rowOff>
    </xdr:to>
    <xdr:sp macro="" textlink="">
      <xdr:nvSpPr>
        <xdr:cNvPr id="50" name="Text Box 741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>
          <a:spLocks noChangeArrowheads="1"/>
        </xdr:cNvSpPr>
      </xdr:nvSpPr>
      <xdr:spPr bwMode="auto">
        <a:xfrm>
          <a:off x="97726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0</xdr:colOff>
      <xdr:row>133</xdr:row>
      <xdr:rowOff>0</xdr:rowOff>
    </xdr:from>
    <xdr:to>
      <xdr:col>9</xdr:col>
      <xdr:colOff>323850</xdr:colOff>
      <xdr:row>134</xdr:row>
      <xdr:rowOff>0</xdr:rowOff>
    </xdr:to>
    <xdr:sp macro="" textlink="">
      <xdr:nvSpPr>
        <xdr:cNvPr id="51" name="Text Box 742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>
          <a:spLocks noChangeArrowheads="1"/>
        </xdr:cNvSpPr>
      </xdr:nvSpPr>
      <xdr:spPr bwMode="auto">
        <a:xfrm>
          <a:off x="97726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0</xdr:colOff>
      <xdr:row>133</xdr:row>
      <xdr:rowOff>0</xdr:rowOff>
    </xdr:from>
    <xdr:to>
      <xdr:col>9</xdr:col>
      <xdr:colOff>323850</xdr:colOff>
      <xdr:row>134</xdr:row>
      <xdr:rowOff>0</xdr:rowOff>
    </xdr:to>
    <xdr:sp macro="" textlink="">
      <xdr:nvSpPr>
        <xdr:cNvPr id="52" name="Text Box 743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>
          <a:spLocks noChangeArrowheads="1"/>
        </xdr:cNvSpPr>
      </xdr:nvSpPr>
      <xdr:spPr bwMode="auto">
        <a:xfrm>
          <a:off x="97726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0</xdr:colOff>
      <xdr:row>133</xdr:row>
      <xdr:rowOff>0</xdr:rowOff>
    </xdr:from>
    <xdr:to>
      <xdr:col>9</xdr:col>
      <xdr:colOff>323850</xdr:colOff>
      <xdr:row>134</xdr:row>
      <xdr:rowOff>0</xdr:rowOff>
    </xdr:to>
    <xdr:sp macro="" textlink="">
      <xdr:nvSpPr>
        <xdr:cNvPr id="53" name="Text Box 744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>
          <a:spLocks noChangeArrowheads="1"/>
        </xdr:cNvSpPr>
      </xdr:nvSpPr>
      <xdr:spPr bwMode="auto">
        <a:xfrm>
          <a:off x="97726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0</xdr:colOff>
      <xdr:row>133</xdr:row>
      <xdr:rowOff>0</xdr:rowOff>
    </xdr:from>
    <xdr:to>
      <xdr:col>9</xdr:col>
      <xdr:colOff>323850</xdr:colOff>
      <xdr:row>134</xdr:row>
      <xdr:rowOff>0</xdr:rowOff>
    </xdr:to>
    <xdr:sp macro="" textlink="">
      <xdr:nvSpPr>
        <xdr:cNvPr id="54" name="Text Box 745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>
          <a:spLocks noChangeArrowheads="1"/>
        </xdr:cNvSpPr>
      </xdr:nvSpPr>
      <xdr:spPr bwMode="auto">
        <a:xfrm>
          <a:off x="97726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0</xdr:colOff>
      <xdr:row>133</xdr:row>
      <xdr:rowOff>0</xdr:rowOff>
    </xdr:from>
    <xdr:to>
      <xdr:col>9</xdr:col>
      <xdr:colOff>323850</xdr:colOff>
      <xdr:row>134</xdr:row>
      <xdr:rowOff>0</xdr:rowOff>
    </xdr:to>
    <xdr:sp macro="" textlink="">
      <xdr:nvSpPr>
        <xdr:cNvPr id="55" name="Text Box 746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>
          <a:spLocks noChangeArrowheads="1"/>
        </xdr:cNvSpPr>
      </xdr:nvSpPr>
      <xdr:spPr bwMode="auto">
        <a:xfrm>
          <a:off x="97726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0</xdr:colOff>
      <xdr:row>133</xdr:row>
      <xdr:rowOff>0</xdr:rowOff>
    </xdr:from>
    <xdr:to>
      <xdr:col>9</xdr:col>
      <xdr:colOff>323850</xdr:colOff>
      <xdr:row>134</xdr:row>
      <xdr:rowOff>0</xdr:rowOff>
    </xdr:to>
    <xdr:sp macro="" textlink="">
      <xdr:nvSpPr>
        <xdr:cNvPr id="56" name="Text Box 747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>
          <a:spLocks noChangeArrowheads="1"/>
        </xdr:cNvSpPr>
      </xdr:nvSpPr>
      <xdr:spPr bwMode="auto">
        <a:xfrm>
          <a:off x="97726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0</xdr:colOff>
      <xdr:row>133</xdr:row>
      <xdr:rowOff>0</xdr:rowOff>
    </xdr:from>
    <xdr:to>
      <xdr:col>9</xdr:col>
      <xdr:colOff>323850</xdr:colOff>
      <xdr:row>134</xdr:row>
      <xdr:rowOff>0</xdr:rowOff>
    </xdr:to>
    <xdr:sp macro="" textlink="">
      <xdr:nvSpPr>
        <xdr:cNvPr id="57" name="Text Box 748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>
          <a:spLocks noChangeArrowheads="1"/>
        </xdr:cNvSpPr>
      </xdr:nvSpPr>
      <xdr:spPr bwMode="auto">
        <a:xfrm>
          <a:off x="97726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0</xdr:colOff>
      <xdr:row>133</xdr:row>
      <xdr:rowOff>0</xdr:rowOff>
    </xdr:from>
    <xdr:to>
      <xdr:col>9</xdr:col>
      <xdr:colOff>323850</xdr:colOff>
      <xdr:row>134</xdr:row>
      <xdr:rowOff>0</xdr:rowOff>
    </xdr:to>
    <xdr:sp macro="" textlink="">
      <xdr:nvSpPr>
        <xdr:cNvPr id="58" name="Text Box 749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>
          <a:spLocks noChangeArrowheads="1"/>
        </xdr:cNvSpPr>
      </xdr:nvSpPr>
      <xdr:spPr bwMode="auto">
        <a:xfrm>
          <a:off x="97726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0</xdr:colOff>
      <xdr:row>133</xdr:row>
      <xdr:rowOff>0</xdr:rowOff>
    </xdr:from>
    <xdr:to>
      <xdr:col>9</xdr:col>
      <xdr:colOff>323850</xdr:colOff>
      <xdr:row>134</xdr:row>
      <xdr:rowOff>0</xdr:rowOff>
    </xdr:to>
    <xdr:sp macro="" textlink="">
      <xdr:nvSpPr>
        <xdr:cNvPr id="59" name="Text Box 750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>
          <a:spLocks noChangeArrowheads="1"/>
        </xdr:cNvSpPr>
      </xdr:nvSpPr>
      <xdr:spPr bwMode="auto">
        <a:xfrm>
          <a:off x="97726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0</xdr:colOff>
      <xdr:row>133</xdr:row>
      <xdr:rowOff>0</xdr:rowOff>
    </xdr:from>
    <xdr:to>
      <xdr:col>9</xdr:col>
      <xdr:colOff>323850</xdr:colOff>
      <xdr:row>134</xdr:row>
      <xdr:rowOff>0</xdr:rowOff>
    </xdr:to>
    <xdr:sp macro="" textlink="">
      <xdr:nvSpPr>
        <xdr:cNvPr id="60" name="Text Box 751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 noChangeArrowheads="1"/>
        </xdr:cNvSpPr>
      </xdr:nvSpPr>
      <xdr:spPr bwMode="auto">
        <a:xfrm>
          <a:off x="97726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0</xdr:colOff>
      <xdr:row>133</xdr:row>
      <xdr:rowOff>0</xdr:rowOff>
    </xdr:from>
    <xdr:to>
      <xdr:col>9</xdr:col>
      <xdr:colOff>323850</xdr:colOff>
      <xdr:row>134</xdr:row>
      <xdr:rowOff>0</xdr:rowOff>
    </xdr:to>
    <xdr:sp macro="" textlink="">
      <xdr:nvSpPr>
        <xdr:cNvPr id="61" name="Text Box 752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>
          <a:spLocks noChangeArrowheads="1"/>
        </xdr:cNvSpPr>
      </xdr:nvSpPr>
      <xdr:spPr bwMode="auto">
        <a:xfrm>
          <a:off x="97726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0</xdr:colOff>
      <xdr:row>133</xdr:row>
      <xdr:rowOff>0</xdr:rowOff>
    </xdr:from>
    <xdr:to>
      <xdr:col>9</xdr:col>
      <xdr:colOff>323850</xdr:colOff>
      <xdr:row>134</xdr:row>
      <xdr:rowOff>0</xdr:rowOff>
    </xdr:to>
    <xdr:sp macro="" textlink="">
      <xdr:nvSpPr>
        <xdr:cNvPr id="62" name="Text Box 753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>
          <a:spLocks noChangeArrowheads="1"/>
        </xdr:cNvSpPr>
      </xdr:nvSpPr>
      <xdr:spPr bwMode="auto">
        <a:xfrm>
          <a:off x="97726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0</xdr:colOff>
      <xdr:row>133</xdr:row>
      <xdr:rowOff>0</xdr:rowOff>
    </xdr:from>
    <xdr:to>
      <xdr:col>9</xdr:col>
      <xdr:colOff>323850</xdr:colOff>
      <xdr:row>134</xdr:row>
      <xdr:rowOff>0</xdr:rowOff>
    </xdr:to>
    <xdr:sp macro="" textlink="">
      <xdr:nvSpPr>
        <xdr:cNvPr id="63" name="Text Box 754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>
          <a:spLocks noChangeArrowheads="1"/>
        </xdr:cNvSpPr>
      </xdr:nvSpPr>
      <xdr:spPr bwMode="auto">
        <a:xfrm>
          <a:off x="97726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0</xdr:colOff>
      <xdr:row>133</xdr:row>
      <xdr:rowOff>0</xdr:rowOff>
    </xdr:from>
    <xdr:to>
      <xdr:col>9</xdr:col>
      <xdr:colOff>323850</xdr:colOff>
      <xdr:row>134</xdr:row>
      <xdr:rowOff>0</xdr:rowOff>
    </xdr:to>
    <xdr:sp macro="" textlink="">
      <xdr:nvSpPr>
        <xdr:cNvPr id="64" name="Text Box 755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>
          <a:spLocks noChangeArrowheads="1"/>
        </xdr:cNvSpPr>
      </xdr:nvSpPr>
      <xdr:spPr bwMode="auto">
        <a:xfrm>
          <a:off x="97726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0</xdr:colOff>
      <xdr:row>133</xdr:row>
      <xdr:rowOff>0</xdr:rowOff>
    </xdr:from>
    <xdr:to>
      <xdr:col>9</xdr:col>
      <xdr:colOff>323850</xdr:colOff>
      <xdr:row>134</xdr:row>
      <xdr:rowOff>0</xdr:rowOff>
    </xdr:to>
    <xdr:sp macro="" textlink="">
      <xdr:nvSpPr>
        <xdr:cNvPr id="65" name="Text Box 756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>
          <a:spLocks noChangeArrowheads="1"/>
        </xdr:cNvSpPr>
      </xdr:nvSpPr>
      <xdr:spPr bwMode="auto">
        <a:xfrm>
          <a:off x="97726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0</xdr:colOff>
      <xdr:row>133</xdr:row>
      <xdr:rowOff>0</xdr:rowOff>
    </xdr:from>
    <xdr:to>
      <xdr:col>9</xdr:col>
      <xdr:colOff>323850</xdr:colOff>
      <xdr:row>134</xdr:row>
      <xdr:rowOff>0</xdr:rowOff>
    </xdr:to>
    <xdr:sp macro="" textlink="">
      <xdr:nvSpPr>
        <xdr:cNvPr id="66" name="Text Box 757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>
          <a:spLocks noChangeArrowheads="1"/>
        </xdr:cNvSpPr>
      </xdr:nvSpPr>
      <xdr:spPr bwMode="auto">
        <a:xfrm>
          <a:off x="97726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0</xdr:colOff>
      <xdr:row>133</xdr:row>
      <xdr:rowOff>0</xdr:rowOff>
    </xdr:from>
    <xdr:to>
      <xdr:col>9</xdr:col>
      <xdr:colOff>323850</xdr:colOff>
      <xdr:row>134</xdr:row>
      <xdr:rowOff>0</xdr:rowOff>
    </xdr:to>
    <xdr:sp macro="" textlink="">
      <xdr:nvSpPr>
        <xdr:cNvPr id="67" name="Text Box 758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>
          <a:spLocks noChangeArrowheads="1"/>
        </xdr:cNvSpPr>
      </xdr:nvSpPr>
      <xdr:spPr bwMode="auto">
        <a:xfrm>
          <a:off x="97726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0</xdr:colOff>
      <xdr:row>133</xdr:row>
      <xdr:rowOff>0</xdr:rowOff>
    </xdr:from>
    <xdr:to>
      <xdr:col>9</xdr:col>
      <xdr:colOff>323850</xdr:colOff>
      <xdr:row>134</xdr:row>
      <xdr:rowOff>0</xdr:rowOff>
    </xdr:to>
    <xdr:sp macro="" textlink="">
      <xdr:nvSpPr>
        <xdr:cNvPr id="68" name="Text Box 759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>
          <a:spLocks noChangeArrowheads="1"/>
        </xdr:cNvSpPr>
      </xdr:nvSpPr>
      <xdr:spPr bwMode="auto">
        <a:xfrm>
          <a:off x="97726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0</xdr:colOff>
      <xdr:row>133</xdr:row>
      <xdr:rowOff>0</xdr:rowOff>
    </xdr:from>
    <xdr:to>
      <xdr:col>9</xdr:col>
      <xdr:colOff>323850</xdr:colOff>
      <xdr:row>134</xdr:row>
      <xdr:rowOff>0</xdr:rowOff>
    </xdr:to>
    <xdr:sp macro="" textlink="">
      <xdr:nvSpPr>
        <xdr:cNvPr id="69" name="Text Box 760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>
          <a:spLocks noChangeArrowheads="1"/>
        </xdr:cNvSpPr>
      </xdr:nvSpPr>
      <xdr:spPr bwMode="auto">
        <a:xfrm>
          <a:off x="97726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0</xdr:colOff>
      <xdr:row>133</xdr:row>
      <xdr:rowOff>0</xdr:rowOff>
    </xdr:from>
    <xdr:to>
      <xdr:col>9</xdr:col>
      <xdr:colOff>323850</xdr:colOff>
      <xdr:row>134</xdr:row>
      <xdr:rowOff>0</xdr:rowOff>
    </xdr:to>
    <xdr:sp macro="" textlink="">
      <xdr:nvSpPr>
        <xdr:cNvPr id="70" name="Text Box 761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>
          <a:spLocks noChangeArrowheads="1"/>
        </xdr:cNvSpPr>
      </xdr:nvSpPr>
      <xdr:spPr bwMode="auto">
        <a:xfrm>
          <a:off x="97726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0</xdr:colOff>
      <xdr:row>133</xdr:row>
      <xdr:rowOff>0</xdr:rowOff>
    </xdr:from>
    <xdr:to>
      <xdr:col>9</xdr:col>
      <xdr:colOff>323850</xdr:colOff>
      <xdr:row>134</xdr:row>
      <xdr:rowOff>0</xdr:rowOff>
    </xdr:to>
    <xdr:sp macro="" textlink="">
      <xdr:nvSpPr>
        <xdr:cNvPr id="71" name="Text Box 762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>
          <a:spLocks noChangeArrowheads="1"/>
        </xdr:cNvSpPr>
      </xdr:nvSpPr>
      <xdr:spPr bwMode="auto">
        <a:xfrm>
          <a:off x="97726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0</xdr:colOff>
      <xdr:row>133</xdr:row>
      <xdr:rowOff>0</xdr:rowOff>
    </xdr:from>
    <xdr:to>
      <xdr:col>9</xdr:col>
      <xdr:colOff>323850</xdr:colOff>
      <xdr:row>134</xdr:row>
      <xdr:rowOff>0</xdr:rowOff>
    </xdr:to>
    <xdr:sp macro="" textlink="">
      <xdr:nvSpPr>
        <xdr:cNvPr id="72" name="Text Box 763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>
          <a:spLocks noChangeArrowheads="1"/>
        </xdr:cNvSpPr>
      </xdr:nvSpPr>
      <xdr:spPr bwMode="auto">
        <a:xfrm>
          <a:off x="97726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0</xdr:colOff>
      <xdr:row>133</xdr:row>
      <xdr:rowOff>0</xdr:rowOff>
    </xdr:from>
    <xdr:to>
      <xdr:col>9</xdr:col>
      <xdr:colOff>323850</xdr:colOff>
      <xdr:row>134</xdr:row>
      <xdr:rowOff>0</xdr:rowOff>
    </xdr:to>
    <xdr:sp macro="" textlink="">
      <xdr:nvSpPr>
        <xdr:cNvPr id="73" name="Text Box 764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>
          <a:spLocks noChangeArrowheads="1"/>
        </xdr:cNvSpPr>
      </xdr:nvSpPr>
      <xdr:spPr bwMode="auto">
        <a:xfrm>
          <a:off x="97726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0</xdr:colOff>
      <xdr:row>133</xdr:row>
      <xdr:rowOff>0</xdr:rowOff>
    </xdr:from>
    <xdr:to>
      <xdr:col>9</xdr:col>
      <xdr:colOff>323850</xdr:colOff>
      <xdr:row>134</xdr:row>
      <xdr:rowOff>0</xdr:rowOff>
    </xdr:to>
    <xdr:sp macro="" textlink="">
      <xdr:nvSpPr>
        <xdr:cNvPr id="74" name="Text Box 765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>
          <a:spLocks noChangeArrowheads="1"/>
        </xdr:cNvSpPr>
      </xdr:nvSpPr>
      <xdr:spPr bwMode="auto">
        <a:xfrm>
          <a:off x="97726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0</xdr:colOff>
      <xdr:row>133</xdr:row>
      <xdr:rowOff>0</xdr:rowOff>
    </xdr:from>
    <xdr:to>
      <xdr:col>9</xdr:col>
      <xdr:colOff>323850</xdr:colOff>
      <xdr:row>134</xdr:row>
      <xdr:rowOff>0</xdr:rowOff>
    </xdr:to>
    <xdr:sp macro="" textlink="">
      <xdr:nvSpPr>
        <xdr:cNvPr id="75" name="Text Box 766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>
          <a:spLocks noChangeArrowheads="1"/>
        </xdr:cNvSpPr>
      </xdr:nvSpPr>
      <xdr:spPr bwMode="auto">
        <a:xfrm>
          <a:off x="97726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0</xdr:colOff>
      <xdr:row>133</xdr:row>
      <xdr:rowOff>0</xdr:rowOff>
    </xdr:from>
    <xdr:to>
      <xdr:col>9</xdr:col>
      <xdr:colOff>323850</xdr:colOff>
      <xdr:row>134</xdr:row>
      <xdr:rowOff>0</xdr:rowOff>
    </xdr:to>
    <xdr:sp macro="" textlink="">
      <xdr:nvSpPr>
        <xdr:cNvPr id="76" name="Text Box 767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>
          <a:spLocks noChangeArrowheads="1"/>
        </xdr:cNvSpPr>
      </xdr:nvSpPr>
      <xdr:spPr bwMode="auto">
        <a:xfrm>
          <a:off x="97726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0</xdr:colOff>
      <xdr:row>133</xdr:row>
      <xdr:rowOff>0</xdr:rowOff>
    </xdr:from>
    <xdr:to>
      <xdr:col>9</xdr:col>
      <xdr:colOff>323850</xdr:colOff>
      <xdr:row>134</xdr:row>
      <xdr:rowOff>0</xdr:rowOff>
    </xdr:to>
    <xdr:sp macro="" textlink="">
      <xdr:nvSpPr>
        <xdr:cNvPr id="77" name="Text Box 768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>
          <a:spLocks noChangeArrowheads="1"/>
        </xdr:cNvSpPr>
      </xdr:nvSpPr>
      <xdr:spPr bwMode="auto">
        <a:xfrm>
          <a:off x="97726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0</xdr:colOff>
      <xdr:row>133</xdr:row>
      <xdr:rowOff>0</xdr:rowOff>
    </xdr:from>
    <xdr:to>
      <xdr:col>9</xdr:col>
      <xdr:colOff>323850</xdr:colOff>
      <xdr:row>134</xdr:row>
      <xdr:rowOff>0</xdr:rowOff>
    </xdr:to>
    <xdr:sp macro="" textlink="">
      <xdr:nvSpPr>
        <xdr:cNvPr id="78" name="Text Box 769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>
          <a:spLocks noChangeArrowheads="1"/>
        </xdr:cNvSpPr>
      </xdr:nvSpPr>
      <xdr:spPr bwMode="auto">
        <a:xfrm>
          <a:off x="97726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0</xdr:colOff>
      <xdr:row>133</xdr:row>
      <xdr:rowOff>0</xdr:rowOff>
    </xdr:from>
    <xdr:to>
      <xdr:col>9</xdr:col>
      <xdr:colOff>323850</xdr:colOff>
      <xdr:row>134</xdr:row>
      <xdr:rowOff>0</xdr:rowOff>
    </xdr:to>
    <xdr:sp macro="" textlink="">
      <xdr:nvSpPr>
        <xdr:cNvPr id="79" name="Text Box 770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>
          <a:spLocks noChangeArrowheads="1"/>
        </xdr:cNvSpPr>
      </xdr:nvSpPr>
      <xdr:spPr bwMode="auto">
        <a:xfrm>
          <a:off x="97726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0</xdr:colOff>
      <xdr:row>133</xdr:row>
      <xdr:rowOff>0</xdr:rowOff>
    </xdr:from>
    <xdr:to>
      <xdr:col>9</xdr:col>
      <xdr:colOff>323850</xdr:colOff>
      <xdr:row>134</xdr:row>
      <xdr:rowOff>0</xdr:rowOff>
    </xdr:to>
    <xdr:sp macro="" textlink="">
      <xdr:nvSpPr>
        <xdr:cNvPr id="80" name="Text Box 771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>
          <a:spLocks noChangeArrowheads="1"/>
        </xdr:cNvSpPr>
      </xdr:nvSpPr>
      <xdr:spPr bwMode="auto">
        <a:xfrm>
          <a:off x="97726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0</xdr:colOff>
      <xdr:row>133</xdr:row>
      <xdr:rowOff>0</xdr:rowOff>
    </xdr:from>
    <xdr:to>
      <xdr:col>9</xdr:col>
      <xdr:colOff>323850</xdr:colOff>
      <xdr:row>134</xdr:row>
      <xdr:rowOff>0</xdr:rowOff>
    </xdr:to>
    <xdr:sp macro="" textlink="">
      <xdr:nvSpPr>
        <xdr:cNvPr id="81" name="Text Box 772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>
          <a:spLocks noChangeArrowheads="1"/>
        </xdr:cNvSpPr>
      </xdr:nvSpPr>
      <xdr:spPr bwMode="auto">
        <a:xfrm>
          <a:off x="97726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0</xdr:colOff>
      <xdr:row>133</xdr:row>
      <xdr:rowOff>0</xdr:rowOff>
    </xdr:from>
    <xdr:to>
      <xdr:col>9</xdr:col>
      <xdr:colOff>323850</xdr:colOff>
      <xdr:row>134</xdr:row>
      <xdr:rowOff>0</xdr:rowOff>
    </xdr:to>
    <xdr:sp macro="" textlink="">
      <xdr:nvSpPr>
        <xdr:cNvPr id="82" name="Text Box 773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>
          <a:spLocks noChangeArrowheads="1"/>
        </xdr:cNvSpPr>
      </xdr:nvSpPr>
      <xdr:spPr bwMode="auto">
        <a:xfrm>
          <a:off x="97726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0</xdr:colOff>
      <xdr:row>133</xdr:row>
      <xdr:rowOff>0</xdr:rowOff>
    </xdr:from>
    <xdr:to>
      <xdr:col>9</xdr:col>
      <xdr:colOff>323850</xdr:colOff>
      <xdr:row>134</xdr:row>
      <xdr:rowOff>0</xdr:rowOff>
    </xdr:to>
    <xdr:sp macro="" textlink="">
      <xdr:nvSpPr>
        <xdr:cNvPr id="83" name="Text Box 774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>
          <a:spLocks noChangeArrowheads="1"/>
        </xdr:cNvSpPr>
      </xdr:nvSpPr>
      <xdr:spPr bwMode="auto">
        <a:xfrm>
          <a:off x="97726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0</xdr:colOff>
      <xdr:row>133</xdr:row>
      <xdr:rowOff>0</xdr:rowOff>
    </xdr:from>
    <xdr:to>
      <xdr:col>9</xdr:col>
      <xdr:colOff>323850</xdr:colOff>
      <xdr:row>134</xdr:row>
      <xdr:rowOff>0</xdr:rowOff>
    </xdr:to>
    <xdr:sp macro="" textlink="">
      <xdr:nvSpPr>
        <xdr:cNvPr id="84" name="Text Box 775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>
          <a:spLocks noChangeArrowheads="1"/>
        </xdr:cNvSpPr>
      </xdr:nvSpPr>
      <xdr:spPr bwMode="auto">
        <a:xfrm>
          <a:off x="97726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0</xdr:colOff>
      <xdr:row>133</xdr:row>
      <xdr:rowOff>0</xdr:rowOff>
    </xdr:from>
    <xdr:to>
      <xdr:col>9</xdr:col>
      <xdr:colOff>323850</xdr:colOff>
      <xdr:row>134</xdr:row>
      <xdr:rowOff>0</xdr:rowOff>
    </xdr:to>
    <xdr:sp macro="" textlink="">
      <xdr:nvSpPr>
        <xdr:cNvPr id="85" name="Text Box 776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>
          <a:spLocks noChangeArrowheads="1"/>
        </xdr:cNvSpPr>
      </xdr:nvSpPr>
      <xdr:spPr bwMode="auto">
        <a:xfrm>
          <a:off x="97726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0</xdr:colOff>
      <xdr:row>133</xdr:row>
      <xdr:rowOff>0</xdr:rowOff>
    </xdr:from>
    <xdr:to>
      <xdr:col>9</xdr:col>
      <xdr:colOff>323850</xdr:colOff>
      <xdr:row>134</xdr:row>
      <xdr:rowOff>0</xdr:rowOff>
    </xdr:to>
    <xdr:sp macro="" textlink="">
      <xdr:nvSpPr>
        <xdr:cNvPr id="86" name="Text Box 777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>
          <a:spLocks noChangeArrowheads="1"/>
        </xdr:cNvSpPr>
      </xdr:nvSpPr>
      <xdr:spPr bwMode="auto">
        <a:xfrm>
          <a:off x="97726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89" name="Text Box 693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90" name="Text Box 694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91" name="Text Box 695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92" name="Text Box 696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93" name="Text Box 697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94" name="Text Box 698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95" name="Text Box 699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96" name="Text Box 700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97" name="Text Box 701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98" name="Text Box 702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99" name="Text Box 703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00" name="Text Box 704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01" name="Text Box 705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02" name="Text Box 706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03" name="Text Box 707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04" name="Text Box 708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05" name="Text Box 709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06" name="Text Box 710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07" name="Text Box 711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08" name="Text Box 712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09" name="Text Box 713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10" name="Text Box 714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11" name="Text Box 715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12" name="Text Box 716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13" name="Text Box 717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14" name="Text Box 718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15" name="Text Box 719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16" name="Text Box 720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17" name="Text Box 721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18" name="Text Box 722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19" name="Text Box 723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20" name="Text Box 724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21" name="Text Box 725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22" name="Text Box 726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23" name="Text Box 727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24" name="Text Box 728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25" name="Text Box 729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26" name="Text Box 730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27" name="Text Box 731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28" name="Text Box 732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29" name="Text Box 733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30" name="Text Box 734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31" name="Text Box 735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32" name="Text Box 736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33" name="Text Box 737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34" name="Text Box 738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35" name="Text Box 739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36" name="Text Box 740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37" name="Text Box 741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38" name="Text Box 742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39" name="Text Box 743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40" name="Text Box 744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41" name="Text Box 745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42" name="Text Box 746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43" name="Text Box 747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44" name="Text Box 748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45" name="Text Box 749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46" name="Text Box 750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47" name="Text Box 751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48" name="Text Box 752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49" name="Text Box 753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50" name="Text Box 754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51" name="Text Box 755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52" name="Text Box 756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53" name="Text Box 757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54" name="Text Box 758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55" name="Text Box 759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56" name="Text Box 760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57" name="Text Box 761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58" name="Text Box 762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59" name="Text Box 763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60" name="Text Box 764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61" name="Text Box 765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62" name="Text Box 766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63" name="Text Box 767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64" name="Text Box 768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65" name="Text Box 769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66" name="Text Box 770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67" name="Text Box 771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68" name="Text Box 772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69" name="Text Box 773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70" name="Text Box 774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71" name="Text Box 775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72" name="Text Box 776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73" name="Text Box 777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74" name="Text Box 693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75" name="Text Box 694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76" name="Text Box 695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77" name="Text Box 696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78" name="Text Box 697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79" name="Text Box 698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80" name="Text Box 699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81" name="Text Box 700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82" name="Text Box 701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83" name="Text Box 702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84" name="Text Box 703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85" name="Text Box 704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86" name="Text Box 705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87" name="Text Box 706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88" name="Text Box 707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89" name="Text Box 708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90" name="Text Box 709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91" name="Text Box 710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92" name="Text Box 71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93" name="Text Box 712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94" name="Text Box 713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95" name="Text Box 714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96" name="Text Box 715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97" name="Text Box 716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98" name="Text Box 717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199" name="Text Box 718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00" name="Text Box 719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01" name="Text Box 720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02" name="Text Box 721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03" name="Text Box 72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04" name="Text Box 723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05" name="Text Box 724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06" name="Text Box 72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07" name="Text Box 726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08" name="Text Box 727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09" name="Text Box 728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10" name="Text Box 729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11" name="Text Box 730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12" name="Text Box 731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13" name="Text Box 732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14" name="Text Box 733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15" name="Text Box 73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16" name="Text Box 735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17" name="Text Box 736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18" name="Text Box 73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19" name="Text Box 738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20" name="Text Box 739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21" name="Text Box 74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22" name="Text Box 741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23" name="Text Box 742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24" name="Text Box 74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25" name="Text Box 744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26" name="Text Box 745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27" name="Text Box 74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28" name="Text Box 747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29" name="Text Box 748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30" name="Text Box 74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31" name="Text Box 750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32" name="Text Box 751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33" name="Text Box 752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34" name="Text Box 753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35" name="Text Box 754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36" name="Text Box 755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37" name="Text Box 756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38" name="Text Box 757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39" name="Text Box 75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40" name="Text Box 759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41" name="Text Box 760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42" name="Text Box 76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43" name="Text Box 762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44" name="Text Box 763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45" name="Text Box 764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46" name="Text Box 765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47" name="Text Box 766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48" name="Text Box 767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49" name="Text Box 768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50" name="Text Box 769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51" name="Text Box 770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52" name="Text Box 771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53" name="Text Box 772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54" name="Text Box 773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55" name="Text Box 774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56" name="Text Box 775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57" name="Text Box 776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58" name="Text Box 777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SpPr>
          <a:spLocks noChangeArrowheads="1"/>
        </xdr:cNvSpPr>
      </xdr:nvSpPr>
      <xdr:spPr bwMode="auto">
        <a:xfrm>
          <a:off x="1413510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59" name="Text Box 693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60" name="Text Box 694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61" name="Text Box 695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62" name="Text Box 696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63" name="Text Box 697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64" name="Text Box 698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65" name="Text Box 699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66" name="Text Box 700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67" name="Text Box 701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68" name="Text Box 702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69" name="Text Box 703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70" name="Text Box 704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71" name="Text Box 705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72" name="Text Box 706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73" name="Text Box 707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74" name="Text Box 708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75" name="Text Box 709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76" name="Text Box 710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77" name="Text Box 711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78" name="Text Box 712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79" name="Text Box 713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80" name="Text Box 714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81" name="Text Box 715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82" name="Text Box 716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83" name="Text Box 717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84" name="Text Box 718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85" name="Text Box 719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86" name="Text Box 720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87" name="Text Box 721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88" name="Text Box 722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89" name="Text Box 723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90" name="Text Box 724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91" name="Text Box 725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92" name="Text Box 726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93" name="Text Box 727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94" name="Text Box 728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95" name="Text Box 729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96" name="Text Box 730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97" name="Text Box 731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98" name="Text Box 732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99" name="Text Box 733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00" name="Text Box 734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01" name="Text Box 735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02" name="Text Box 736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03" name="Text Box 737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04" name="Text Box 738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05" name="Text Box 739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06" name="Text Box 740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07" name="Text Box 741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08" name="Text Box 742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09" name="Text Box 743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10" name="Text Box 744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11" name="Text Box 745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12" name="Text Box 746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13" name="Text Box 747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14" name="Text Box 748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15" name="Text Box 749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16" name="Text Box 750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17" name="Text Box 751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18" name="Text Box 752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19" name="Text Box 753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20" name="Text Box 754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21" name="Text Box 755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22" name="Text Box 756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23" name="Text Box 757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24" name="Text Box 758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25" name="Text Box 759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26" name="Text Box 760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27" name="Text Box 761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28" name="Text Box 762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29" name="Text Box 763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30" name="Text Box 764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31" name="Text Box 765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32" name="Text Box 766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33" name="Text Box 767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34" name="Text Box 768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35" name="Text Box 769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36" name="Text Box 770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37" name="Text Box 771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38" name="Text Box 772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39" name="Text Box 773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40" name="Text Box 774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41" name="Text Box 775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42" name="Text Box 776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43" name="Text Box 777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44" name="Text Box 693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45" name="Text Box 694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46" name="Text Box 695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47" name="Text Box 696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48" name="Text Box 697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49" name="Text Box 698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50" name="Text Box 699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51" name="Text Box 700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52" name="Text Box 701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53" name="Text Box 702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54" name="Text Box 703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55" name="Text Box 704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56" name="Text Box 705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57" name="Text Box 706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58" name="Text Box 707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59" name="Text Box 708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60" name="Text Box 709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61" name="Text Box 710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62" name="Text Box 711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63" name="Text Box 712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64" name="Text Box 713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65" name="Text Box 714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66" name="Text Box 715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67" name="Text Box 716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68" name="Text Box 717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69" name="Text Box 718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70" name="Text Box 719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71" name="Text Box 720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72" name="Text Box 721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73" name="Text Box 722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74" name="Text Box 723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75" name="Text Box 724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76" name="Text Box 725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77" name="Text Box 726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78" name="Text Box 727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79" name="Text Box 728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80" name="Text Box 729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81" name="Text Box 730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82" name="Text Box 731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83" name="Text Box 732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84" name="Text Box 733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85" name="Text Box 734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86" name="Text Box 735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87" name="Text Box 736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88" name="Text Box 737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89" name="Text Box 738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90" name="Text Box 739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91" name="Text Box 740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92" name="Text Box 741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93" name="Text Box 742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94" name="Text Box 743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95" name="Text Box 744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96" name="Text Box 745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97" name="Text Box 746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98" name="Text Box 747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399" name="Text Box 748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400" name="Text Box 749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401" name="Text Box 750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402" name="Text Box 751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403" name="Text Box 752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404" name="Text Box 753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405" name="Text Box 754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406" name="Text Box 755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407" name="Text Box 756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408" name="Text Box 757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409" name="Text Box 758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410" name="Text Box 759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411" name="Text Box 760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412" name="Text Box 761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413" name="Text Box 762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414" name="Text Box 763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415" name="Text Box 764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416" name="Text Box 765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417" name="Text Box 766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418" name="Text Box 767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419" name="Text Box 768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420" name="Text Box 769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421" name="Text Box 770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422" name="Text Box 771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423" name="Text Box 772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424" name="Text Box 773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425" name="Text Box 774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426" name="Text Box 775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427" name="Text Box 776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428" name="Text Box 777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SpPr>
          <a:spLocks noChangeArrowheads="1"/>
        </xdr:cNvSpPr>
      </xdr:nvSpPr>
      <xdr:spPr bwMode="auto">
        <a:xfrm>
          <a:off x="187071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429" name="Text Box 693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430" name="Text Box 694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431" name="Text Box 695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432" name="Text Box 696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433" name="Text Box 697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434" name="Text Box 698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435" name="Text Box 699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436" name="Text Box 700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437" name="Text Box 701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438" name="Text Box 702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439" name="Text Box 703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440" name="Text Box 704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441" name="Text Box 705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442" name="Text Box 706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443" name="Text Box 707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444" name="Text Box 708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445" name="Text Box 709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446" name="Text Box 710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447" name="Text Box 711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448" name="Text Box 712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449" name="Text Box 713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450" name="Text Box 714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451" name="Text Box 715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452" name="Text Box 716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453" name="Text Box 717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454" name="Text Box 718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455" name="Text Box 719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456" name="Text Box 720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457" name="Text Box 721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458" name="Text Box 722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459" name="Text Box 723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460" name="Text Box 724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461" name="Text Box 725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462" name="Text Box 726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463" name="Text Box 727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464" name="Text Box 728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465" name="Text Box 729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466" name="Text Box 730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467" name="Text Box 731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468" name="Text Box 732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469" name="Text Box 733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470" name="Text Box 734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471" name="Text Box 735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472" name="Text Box 736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473" name="Text Box 737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474" name="Text Box 738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475" name="Text Box 739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476" name="Text Box 740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477" name="Text Box 741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478" name="Text Box 742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479" name="Text Box 743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480" name="Text Box 744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481" name="Text Box 745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482" name="Text Box 746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483" name="Text Box 747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484" name="Text Box 748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485" name="Text Box 749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486" name="Text Box 750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487" name="Text Box 751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488" name="Text Box 752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489" name="Text Box 753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490" name="Text Box 754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491" name="Text Box 755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492" name="Text Box 756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493" name="Text Box 757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494" name="Text Box 758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495" name="Text Box 759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496" name="Text Box 760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497" name="Text Box 761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498" name="Text Box 762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499" name="Text Box 763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00" name="Text Box 764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01" name="Text Box 765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02" name="Text Box 766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03" name="Text Box 767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04" name="Text Box 768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05" name="Text Box 769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06" name="Text Box 770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07" name="Text Box 771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08" name="Text Box 772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09" name="Text Box 773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10" name="Text Box 774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11" name="Text Box 775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12" name="Text Box 776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13" name="Text Box 777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14" name="Text Box 693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15" name="Text Box 694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16" name="Text Box 695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17" name="Text Box 696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18" name="Text Box 697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19" name="Text Box 698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20" name="Text Box 699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21" name="Text Box 700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22" name="Text Box 701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23" name="Text Box 702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24" name="Text Box 703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25" name="Text Box 704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26" name="Text Box 705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27" name="Text Box 706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28" name="Text Box 707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29" name="Text Box 708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30" name="Text Box 709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31" name="Text Box 710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32" name="Text Box 711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33" name="Text Box 712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34" name="Text Box 713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35" name="Text Box 714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36" name="Text Box 715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37" name="Text Box 716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38" name="Text Box 717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39" name="Text Box 718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40" name="Text Box 719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41" name="Text Box 720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42" name="Text Box 721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43" name="Text Box 722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44" name="Text Box 723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45" name="Text Box 724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46" name="Text Box 725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47" name="Text Box 726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48" name="Text Box 727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49" name="Text Box 728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50" name="Text Box 729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51" name="Text Box 730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52" name="Text Box 731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53" name="Text Box 732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54" name="Text Box 733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55" name="Text Box 734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56" name="Text Box 735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57" name="Text Box 736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58" name="Text Box 737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59" name="Text Box 738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60" name="Text Box 739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61" name="Text Box 740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62" name="Text Box 741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63" name="Text Box 742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64" name="Text Box 743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65" name="Text Box 744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66" name="Text Box 745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67" name="Text Box 746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68" name="Text Box 747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69" name="Text Box 748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70" name="Text Box 749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71" name="Text Box 750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72" name="Text Box 751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73" name="Text Box 752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74" name="Text Box 753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75" name="Text Box 754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76" name="Text Box 755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77" name="Text Box 756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78" name="Text Box 757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79" name="Text Box 758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80" name="Text Box 759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81" name="Text Box 760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82" name="Text Box 761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83" name="Text Box 762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84" name="Text Box 763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85" name="Text Box 764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86" name="Text Box 765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87" name="Text Box 766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88" name="Text Box 767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89" name="Text Box 768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90" name="Text Box 769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91" name="Text Box 770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92" name="Text Box 771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93" name="Text Box 772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94" name="Text Box 773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95" name="Text Box 774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96" name="Text Box 775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97" name="Text Box 776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598" name="Text Box 777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SpPr>
          <a:spLocks noChangeArrowheads="1"/>
        </xdr:cNvSpPr>
      </xdr:nvSpPr>
      <xdr:spPr bwMode="auto">
        <a:xfrm>
          <a:off x="234124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599" name="Text Box 693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00" name="Text Box 694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01" name="Text Box 695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02" name="Text Box 696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03" name="Text Box 697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04" name="Text Box 698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05" name="Text Box 699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06" name="Text Box 700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07" name="Text Box 701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08" name="Text Box 702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09" name="Text Box 703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10" name="Text Box 704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11" name="Text Box 705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12" name="Text Box 706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13" name="Text Box 707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14" name="Text Box 708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15" name="Text Box 709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16" name="Text Box 710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17" name="Text Box 711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18" name="Text Box 712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19" name="Text Box 713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20" name="Text Box 714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21" name="Text Box 715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22" name="Text Box 716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23" name="Text Box 717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24" name="Text Box 718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25" name="Text Box 719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26" name="Text Box 720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27" name="Text Box 721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28" name="Text Box 722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29" name="Text Box 723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30" name="Text Box 724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31" name="Text Box 725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32" name="Text Box 726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33" name="Text Box 727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34" name="Text Box 728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35" name="Text Box 729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36" name="Text Box 730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37" name="Text Box 731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38" name="Text Box 732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39" name="Text Box 733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40" name="Text Box 734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41" name="Text Box 735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42" name="Text Box 736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43" name="Text Box 737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44" name="Text Box 738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45" name="Text Box 739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46" name="Text Box 740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47" name="Text Box 741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48" name="Text Box 742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49" name="Text Box 743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50" name="Text Box 744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51" name="Text Box 745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52" name="Text Box 746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53" name="Text Box 747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54" name="Text Box 748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55" name="Text Box 749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56" name="Text Box 750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57" name="Text Box 751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58" name="Text Box 752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59" name="Text Box 753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60" name="Text Box 754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61" name="Text Box 755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62" name="Text Box 756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63" name="Text Box 757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64" name="Text Box 758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65" name="Text Box 759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66" name="Text Box 760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67" name="Text Box 761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68" name="Text Box 762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69" name="Text Box 763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70" name="Text Box 764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71" name="Text Box 765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72" name="Text Box 766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73" name="Text Box 767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74" name="Text Box 768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75" name="Text Box 769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76" name="Text Box 770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77" name="Text Box 771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78" name="Text Box 772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79" name="Text Box 773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80" name="Text Box 774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81" name="Text Box 775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82" name="Text Box 776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83" name="Text Box 777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84" name="Text Box 693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85" name="Text Box 694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86" name="Text Box 695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87" name="Text Box 696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88" name="Text Box 697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89" name="Text Box 698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90" name="Text Box 699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91" name="Text Box 700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92" name="Text Box 701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93" name="Text Box 702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94" name="Text Box 703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95" name="Text Box 704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96" name="Text Box 705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97" name="Text Box 706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98" name="Text Box 707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699" name="Text Box 708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700" name="Text Box 709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701" name="Text Box 710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702" name="Text Box 711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703" name="Text Box 712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704" name="Text Box 713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705" name="Text Box 714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706" name="Text Box 715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707" name="Text Box 716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708" name="Text Box 717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709" name="Text Box 718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710" name="Text Box 719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711" name="Text Box 720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712" name="Text Box 721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713" name="Text Box 722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714" name="Text Box 723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715" name="Text Box 724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716" name="Text Box 725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717" name="Text Box 726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718" name="Text Box 727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719" name="Text Box 728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720" name="Text Box 729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721" name="Text Box 730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722" name="Text Box 731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723" name="Text Box 732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724" name="Text Box 733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725" name="Text Box 734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726" name="Text Box 735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727" name="Text Box 736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728" name="Text Box 737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729" name="Text Box 738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730" name="Text Box 739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731" name="Text Box 740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732" name="Text Box 741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733" name="Text Box 742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734" name="Text Box 743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735" name="Text Box 744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736" name="Text Box 745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737" name="Text Box 746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738" name="Text Box 747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739" name="Text Box 748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740" name="Text Box 749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741" name="Text Box 750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742" name="Text Box 751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743" name="Text Box 752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744" name="Text Box 753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745" name="Text Box 754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746" name="Text Box 755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747" name="Text Box 756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748" name="Text Box 757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749" name="Text Box 758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750" name="Text Box 759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751" name="Text Box 760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752" name="Text Box 761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753" name="Text Box 762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754" name="Text Box 763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755" name="Text Box 764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756" name="Text Box 765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757" name="Text Box 766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758" name="Text Box 767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759" name="Text Box 768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760" name="Text Box 769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761" name="Text Box 770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762" name="Text Box 771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763" name="Text Box 772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764" name="Text Box 773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765" name="Text Box 774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766" name="Text Box 775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767" name="Text Box 776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768" name="Text Box 777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SpPr>
          <a:spLocks noChangeArrowheads="1"/>
        </xdr:cNvSpPr>
      </xdr:nvSpPr>
      <xdr:spPr bwMode="auto">
        <a:xfrm>
          <a:off x="28241625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769" name="Text Box 693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770" name="Text Box 694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771" name="Text Box 695"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772" name="Text Box 696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773" name="Text Box 697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774" name="Text Box 698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775" name="Text Box 699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776" name="Text Box 700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777" name="Text Box 701">
          <a:extLs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778" name="Text Box 702"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779" name="Text Box 703"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780" name="Text Box 704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781" name="Text Box 705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782" name="Text Box 706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783" name="Text Box 707">
          <a:extLs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784" name="Text Box 708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785" name="Text Box 709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786" name="Text Box 710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787" name="Text Box 711"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788" name="Text Box 712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789" name="Text Box 713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790" name="Text Box 714"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791" name="Text Box 715">
          <a:extLs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792" name="Text Box 716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793" name="Text Box 717"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794" name="Text Box 718">
          <a:extLs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795" name="Text Box 719"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796" name="Text Box 720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797" name="Text Box 721">
          <a:extLs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798" name="Text Box 722"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799" name="Text Box 723">
          <a:extLs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00" name="Text Box 724"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01" name="Text Box 725">
          <a:extLs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02" name="Text Box 726">
          <a:extLst>
            <a:ext uri="{FF2B5EF4-FFF2-40B4-BE49-F238E27FC236}">
              <a16:creationId xmlns:a16="http://schemas.microsoft.com/office/drawing/2014/main" id="{00000000-0008-0000-0000-000022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03" name="Text Box 727">
          <a:extLst>
            <a:ext uri="{FF2B5EF4-FFF2-40B4-BE49-F238E27FC236}">
              <a16:creationId xmlns:a16="http://schemas.microsoft.com/office/drawing/2014/main" id="{00000000-0008-0000-0000-000023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04" name="Text Box 728">
          <a:extLst>
            <a:ext uri="{FF2B5EF4-FFF2-40B4-BE49-F238E27FC236}">
              <a16:creationId xmlns:a16="http://schemas.microsoft.com/office/drawing/2014/main" id="{00000000-0008-0000-0000-000024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05" name="Text Box 729">
          <a:extLst>
            <a:ext uri="{FF2B5EF4-FFF2-40B4-BE49-F238E27FC236}">
              <a16:creationId xmlns:a16="http://schemas.microsoft.com/office/drawing/2014/main" id="{00000000-0008-0000-0000-000025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06" name="Text Box 730">
          <a:extLst>
            <a:ext uri="{FF2B5EF4-FFF2-40B4-BE49-F238E27FC236}">
              <a16:creationId xmlns:a16="http://schemas.microsoft.com/office/drawing/2014/main" id="{00000000-0008-0000-0000-000026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07" name="Text Box 731">
          <a:extLst>
            <a:ext uri="{FF2B5EF4-FFF2-40B4-BE49-F238E27FC236}">
              <a16:creationId xmlns:a16="http://schemas.microsoft.com/office/drawing/2014/main" id="{00000000-0008-0000-0000-000027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08" name="Text Box 732">
          <a:extLst>
            <a:ext uri="{FF2B5EF4-FFF2-40B4-BE49-F238E27FC236}">
              <a16:creationId xmlns:a16="http://schemas.microsoft.com/office/drawing/2014/main" id="{00000000-0008-0000-0000-000028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09" name="Text Box 733">
          <a:extLst>
            <a:ext uri="{FF2B5EF4-FFF2-40B4-BE49-F238E27FC236}">
              <a16:creationId xmlns:a16="http://schemas.microsoft.com/office/drawing/2014/main" id="{00000000-0008-0000-0000-000029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10" name="Text Box 734">
          <a:extLst>
            <a:ext uri="{FF2B5EF4-FFF2-40B4-BE49-F238E27FC236}">
              <a16:creationId xmlns:a16="http://schemas.microsoft.com/office/drawing/2014/main" id="{00000000-0008-0000-0000-00002A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11" name="Text Box 735">
          <a:extLst>
            <a:ext uri="{FF2B5EF4-FFF2-40B4-BE49-F238E27FC236}">
              <a16:creationId xmlns:a16="http://schemas.microsoft.com/office/drawing/2014/main" id="{00000000-0008-0000-0000-00002B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12" name="Text Box 736">
          <a:extLst>
            <a:ext uri="{FF2B5EF4-FFF2-40B4-BE49-F238E27FC236}">
              <a16:creationId xmlns:a16="http://schemas.microsoft.com/office/drawing/2014/main" id="{00000000-0008-0000-0000-00002C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13" name="Text Box 737">
          <a:extLst>
            <a:ext uri="{FF2B5EF4-FFF2-40B4-BE49-F238E27FC236}">
              <a16:creationId xmlns:a16="http://schemas.microsoft.com/office/drawing/2014/main" id="{00000000-0008-0000-0000-00002D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14" name="Text Box 738">
          <a:extLst>
            <a:ext uri="{FF2B5EF4-FFF2-40B4-BE49-F238E27FC236}">
              <a16:creationId xmlns:a16="http://schemas.microsoft.com/office/drawing/2014/main" id="{00000000-0008-0000-0000-00002E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15" name="Text Box 739">
          <a:extLst>
            <a:ext uri="{FF2B5EF4-FFF2-40B4-BE49-F238E27FC236}">
              <a16:creationId xmlns:a16="http://schemas.microsoft.com/office/drawing/2014/main" id="{00000000-0008-0000-0000-00002F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16" name="Text Box 740">
          <a:extLst>
            <a:ext uri="{FF2B5EF4-FFF2-40B4-BE49-F238E27FC236}">
              <a16:creationId xmlns:a16="http://schemas.microsoft.com/office/drawing/2014/main" id="{00000000-0008-0000-0000-000030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17" name="Text Box 741">
          <a:extLst>
            <a:ext uri="{FF2B5EF4-FFF2-40B4-BE49-F238E27FC236}">
              <a16:creationId xmlns:a16="http://schemas.microsoft.com/office/drawing/2014/main" id="{00000000-0008-0000-0000-000031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18" name="Text Box 742">
          <a:extLst>
            <a:ext uri="{FF2B5EF4-FFF2-40B4-BE49-F238E27FC236}">
              <a16:creationId xmlns:a16="http://schemas.microsoft.com/office/drawing/2014/main" id="{00000000-0008-0000-0000-000032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19" name="Text Box 743">
          <a:extLst>
            <a:ext uri="{FF2B5EF4-FFF2-40B4-BE49-F238E27FC236}">
              <a16:creationId xmlns:a16="http://schemas.microsoft.com/office/drawing/2014/main" id="{00000000-0008-0000-0000-000033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20" name="Text Box 744">
          <a:extLst>
            <a:ext uri="{FF2B5EF4-FFF2-40B4-BE49-F238E27FC236}">
              <a16:creationId xmlns:a16="http://schemas.microsoft.com/office/drawing/2014/main" id="{00000000-0008-0000-0000-000034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21" name="Text Box 745">
          <a:extLst>
            <a:ext uri="{FF2B5EF4-FFF2-40B4-BE49-F238E27FC236}">
              <a16:creationId xmlns:a16="http://schemas.microsoft.com/office/drawing/2014/main" id="{00000000-0008-0000-0000-000035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22" name="Text Box 746">
          <a:extLst>
            <a:ext uri="{FF2B5EF4-FFF2-40B4-BE49-F238E27FC236}">
              <a16:creationId xmlns:a16="http://schemas.microsoft.com/office/drawing/2014/main" id="{00000000-0008-0000-0000-000036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23" name="Text Box 747">
          <a:extLst>
            <a:ext uri="{FF2B5EF4-FFF2-40B4-BE49-F238E27FC236}">
              <a16:creationId xmlns:a16="http://schemas.microsoft.com/office/drawing/2014/main" id="{00000000-0008-0000-0000-000037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24" name="Text Box 748">
          <a:extLst>
            <a:ext uri="{FF2B5EF4-FFF2-40B4-BE49-F238E27FC236}">
              <a16:creationId xmlns:a16="http://schemas.microsoft.com/office/drawing/2014/main" id="{00000000-0008-0000-0000-000038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25" name="Text Box 749">
          <a:extLst>
            <a:ext uri="{FF2B5EF4-FFF2-40B4-BE49-F238E27FC236}">
              <a16:creationId xmlns:a16="http://schemas.microsoft.com/office/drawing/2014/main" id="{00000000-0008-0000-0000-000039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26" name="Text Box 750">
          <a:extLst>
            <a:ext uri="{FF2B5EF4-FFF2-40B4-BE49-F238E27FC236}">
              <a16:creationId xmlns:a16="http://schemas.microsoft.com/office/drawing/2014/main" id="{00000000-0008-0000-0000-00003A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27" name="Text Box 751">
          <a:extLst>
            <a:ext uri="{FF2B5EF4-FFF2-40B4-BE49-F238E27FC236}">
              <a16:creationId xmlns:a16="http://schemas.microsoft.com/office/drawing/2014/main" id="{00000000-0008-0000-0000-00003B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28" name="Text Box 752">
          <a:extLst>
            <a:ext uri="{FF2B5EF4-FFF2-40B4-BE49-F238E27FC236}">
              <a16:creationId xmlns:a16="http://schemas.microsoft.com/office/drawing/2014/main" id="{00000000-0008-0000-0000-00003C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29" name="Text Box 753">
          <a:extLst>
            <a:ext uri="{FF2B5EF4-FFF2-40B4-BE49-F238E27FC236}">
              <a16:creationId xmlns:a16="http://schemas.microsoft.com/office/drawing/2014/main" id="{00000000-0008-0000-0000-00003D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30" name="Text Box 754">
          <a:extLst>
            <a:ext uri="{FF2B5EF4-FFF2-40B4-BE49-F238E27FC236}">
              <a16:creationId xmlns:a16="http://schemas.microsoft.com/office/drawing/2014/main" id="{00000000-0008-0000-0000-00003E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31" name="Text Box 755">
          <a:extLst>
            <a:ext uri="{FF2B5EF4-FFF2-40B4-BE49-F238E27FC236}">
              <a16:creationId xmlns:a16="http://schemas.microsoft.com/office/drawing/2014/main" id="{00000000-0008-0000-0000-00003F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32" name="Text Box 756">
          <a:extLst>
            <a:ext uri="{FF2B5EF4-FFF2-40B4-BE49-F238E27FC236}">
              <a16:creationId xmlns:a16="http://schemas.microsoft.com/office/drawing/2014/main" id="{00000000-0008-0000-0000-000040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33" name="Text Box 757">
          <a:extLst>
            <a:ext uri="{FF2B5EF4-FFF2-40B4-BE49-F238E27FC236}">
              <a16:creationId xmlns:a16="http://schemas.microsoft.com/office/drawing/2014/main" id="{00000000-0008-0000-0000-000041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34" name="Text Box 758">
          <a:extLst>
            <a:ext uri="{FF2B5EF4-FFF2-40B4-BE49-F238E27FC236}">
              <a16:creationId xmlns:a16="http://schemas.microsoft.com/office/drawing/2014/main" id="{00000000-0008-0000-0000-000042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35" name="Text Box 759">
          <a:extLst>
            <a:ext uri="{FF2B5EF4-FFF2-40B4-BE49-F238E27FC236}">
              <a16:creationId xmlns:a16="http://schemas.microsoft.com/office/drawing/2014/main" id="{00000000-0008-0000-0000-000043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36" name="Text Box 760">
          <a:extLst>
            <a:ext uri="{FF2B5EF4-FFF2-40B4-BE49-F238E27FC236}">
              <a16:creationId xmlns:a16="http://schemas.microsoft.com/office/drawing/2014/main" id="{00000000-0008-0000-0000-000044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37" name="Text Box 761">
          <a:extLst>
            <a:ext uri="{FF2B5EF4-FFF2-40B4-BE49-F238E27FC236}">
              <a16:creationId xmlns:a16="http://schemas.microsoft.com/office/drawing/2014/main" id="{00000000-0008-0000-0000-000045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38" name="Text Box 762">
          <a:extLst>
            <a:ext uri="{FF2B5EF4-FFF2-40B4-BE49-F238E27FC236}">
              <a16:creationId xmlns:a16="http://schemas.microsoft.com/office/drawing/2014/main" id="{00000000-0008-0000-0000-000046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39" name="Text Box 763">
          <a:extLst>
            <a:ext uri="{FF2B5EF4-FFF2-40B4-BE49-F238E27FC236}">
              <a16:creationId xmlns:a16="http://schemas.microsoft.com/office/drawing/2014/main" id="{00000000-0008-0000-0000-000047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40" name="Text Box 764">
          <a:extLst>
            <a:ext uri="{FF2B5EF4-FFF2-40B4-BE49-F238E27FC236}">
              <a16:creationId xmlns:a16="http://schemas.microsoft.com/office/drawing/2014/main" id="{00000000-0008-0000-0000-000048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41" name="Text Box 765">
          <a:extLst>
            <a:ext uri="{FF2B5EF4-FFF2-40B4-BE49-F238E27FC236}">
              <a16:creationId xmlns:a16="http://schemas.microsoft.com/office/drawing/2014/main" id="{00000000-0008-0000-0000-000049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42" name="Text Box 766">
          <a:extLst>
            <a:ext uri="{FF2B5EF4-FFF2-40B4-BE49-F238E27FC236}">
              <a16:creationId xmlns:a16="http://schemas.microsoft.com/office/drawing/2014/main" id="{00000000-0008-0000-0000-00004A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43" name="Text Box 767">
          <a:extLst>
            <a:ext uri="{FF2B5EF4-FFF2-40B4-BE49-F238E27FC236}">
              <a16:creationId xmlns:a16="http://schemas.microsoft.com/office/drawing/2014/main" id="{00000000-0008-0000-0000-00004B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44" name="Text Box 768">
          <a:extLst>
            <a:ext uri="{FF2B5EF4-FFF2-40B4-BE49-F238E27FC236}">
              <a16:creationId xmlns:a16="http://schemas.microsoft.com/office/drawing/2014/main" id="{00000000-0008-0000-0000-00004C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45" name="Text Box 769">
          <a:extLst>
            <a:ext uri="{FF2B5EF4-FFF2-40B4-BE49-F238E27FC236}">
              <a16:creationId xmlns:a16="http://schemas.microsoft.com/office/drawing/2014/main" id="{00000000-0008-0000-0000-00004D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46" name="Text Box 770">
          <a:extLst>
            <a:ext uri="{FF2B5EF4-FFF2-40B4-BE49-F238E27FC236}">
              <a16:creationId xmlns:a16="http://schemas.microsoft.com/office/drawing/2014/main" id="{00000000-0008-0000-0000-00004E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47" name="Text Box 771">
          <a:extLst>
            <a:ext uri="{FF2B5EF4-FFF2-40B4-BE49-F238E27FC236}">
              <a16:creationId xmlns:a16="http://schemas.microsoft.com/office/drawing/2014/main" id="{00000000-0008-0000-0000-00004F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48" name="Text Box 772">
          <a:extLst>
            <a:ext uri="{FF2B5EF4-FFF2-40B4-BE49-F238E27FC236}">
              <a16:creationId xmlns:a16="http://schemas.microsoft.com/office/drawing/2014/main" id="{00000000-0008-0000-0000-000050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49" name="Text Box 773">
          <a:extLst>
            <a:ext uri="{FF2B5EF4-FFF2-40B4-BE49-F238E27FC236}">
              <a16:creationId xmlns:a16="http://schemas.microsoft.com/office/drawing/2014/main" id="{00000000-0008-0000-0000-000051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50" name="Text Box 774">
          <a:extLst>
            <a:ext uri="{FF2B5EF4-FFF2-40B4-BE49-F238E27FC236}">
              <a16:creationId xmlns:a16="http://schemas.microsoft.com/office/drawing/2014/main" id="{00000000-0008-0000-0000-000052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51" name="Text Box 775">
          <a:extLst>
            <a:ext uri="{FF2B5EF4-FFF2-40B4-BE49-F238E27FC236}">
              <a16:creationId xmlns:a16="http://schemas.microsoft.com/office/drawing/2014/main" id="{00000000-0008-0000-0000-000053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52" name="Text Box 776">
          <a:extLst>
            <a:ext uri="{FF2B5EF4-FFF2-40B4-BE49-F238E27FC236}">
              <a16:creationId xmlns:a16="http://schemas.microsoft.com/office/drawing/2014/main" id="{00000000-0008-0000-0000-000054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53" name="Text Box 777">
          <a:extLst>
            <a:ext uri="{FF2B5EF4-FFF2-40B4-BE49-F238E27FC236}">
              <a16:creationId xmlns:a16="http://schemas.microsoft.com/office/drawing/2014/main" id="{00000000-0008-0000-0000-000055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54" name="Text Box 693">
          <a:extLst>
            <a:ext uri="{FF2B5EF4-FFF2-40B4-BE49-F238E27FC236}">
              <a16:creationId xmlns:a16="http://schemas.microsoft.com/office/drawing/2014/main" id="{00000000-0008-0000-0000-000056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55" name="Text Box 694">
          <a:extLst>
            <a:ext uri="{FF2B5EF4-FFF2-40B4-BE49-F238E27FC236}">
              <a16:creationId xmlns:a16="http://schemas.microsoft.com/office/drawing/2014/main" id="{00000000-0008-0000-0000-000057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56" name="Text Box 695">
          <a:extLst>
            <a:ext uri="{FF2B5EF4-FFF2-40B4-BE49-F238E27FC236}">
              <a16:creationId xmlns:a16="http://schemas.microsoft.com/office/drawing/2014/main" id="{00000000-0008-0000-0000-000058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57" name="Text Box 696">
          <a:extLst>
            <a:ext uri="{FF2B5EF4-FFF2-40B4-BE49-F238E27FC236}">
              <a16:creationId xmlns:a16="http://schemas.microsoft.com/office/drawing/2014/main" id="{00000000-0008-0000-0000-000059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58" name="Text Box 697">
          <a:extLst>
            <a:ext uri="{FF2B5EF4-FFF2-40B4-BE49-F238E27FC236}">
              <a16:creationId xmlns:a16="http://schemas.microsoft.com/office/drawing/2014/main" id="{00000000-0008-0000-0000-00005A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59" name="Text Box 698">
          <a:extLst>
            <a:ext uri="{FF2B5EF4-FFF2-40B4-BE49-F238E27FC236}">
              <a16:creationId xmlns:a16="http://schemas.microsoft.com/office/drawing/2014/main" id="{00000000-0008-0000-0000-00005B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60" name="Text Box 699">
          <a:extLst>
            <a:ext uri="{FF2B5EF4-FFF2-40B4-BE49-F238E27FC236}">
              <a16:creationId xmlns:a16="http://schemas.microsoft.com/office/drawing/2014/main" id="{00000000-0008-0000-0000-00005C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61" name="Text Box 700">
          <a:extLst>
            <a:ext uri="{FF2B5EF4-FFF2-40B4-BE49-F238E27FC236}">
              <a16:creationId xmlns:a16="http://schemas.microsoft.com/office/drawing/2014/main" id="{00000000-0008-0000-0000-00005D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62" name="Text Box 701">
          <a:extLst>
            <a:ext uri="{FF2B5EF4-FFF2-40B4-BE49-F238E27FC236}">
              <a16:creationId xmlns:a16="http://schemas.microsoft.com/office/drawing/2014/main" id="{00000000-0008-0000-0000-00005E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63" name="Text Box 702">
          <a:extLst>
            <a:ext uri="{FF2B5EF4-FFF2-40B4-BE49-F238E27FC236}">
              <a16:creationId xmlns:a16="http://schemas.microsoft.com/office/drawing/2014/main" id="{00000000-0008-0000-0000-00005F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64" name="Text Box 703">
          <a:extLst>
            <a:ext uri="{FF2B5EF4-FFF2-40B4-BE49-F238E27FC236}">
              <a16:creationId xmlns:a16="http://schemas.microsoft.com/office/drawing/2014/main" id="{00000000-0008-0000-0000-000060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65" name="Text Box 704">
          <a:extLst>
            <a:ext uri="{FF2B5EF4-FFF2-40B4-BE49-F238E27FC236}">
              <a16:creationId xmlns:a16="http://schemas.microsoft.com/office/drawing/2014/main" id="{00000000-0008-0000-0000-000061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66" name="Text Box 705">
          <a:extLst>
            <a:ext uri="{FF2B5EF4-FFF2-40B4-BE49-F238E27FC236}">
              <a16:creationId xmlns:a16="http://schemas.microsoft.com/office/drawing/2014/main" id="{00000000-0008-0000-0000-000062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67" name="Text Box 706">
          <a:extLst>
            <a:ext uri="{FF2B5EF4-FFF2-40B4-BE49-F238E27FC236}">
              <a16:creationId xmlns:a16="http://schemas.microsoft.com/office/drawing/2014/main" id="{00000000-0008-0000-0000-000063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68" name="Text Box 707">
          <a:extLst>
            <a:ext uri="{FF2B5EF4-FFF2-40B4-BE49-F238E27FC236}">
              <a16:creationId xmlns:a16="http://schemas.microsoft.com/office/drawing/2014/main" id="{00000000-0008-0000-0000-000064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69" name="Text Box 708">
          <a:extLst>
            <a:ext uri="{FF2B5EF4-FFF2-40B4-BE49-F238E27FC236}">
              <a16:creationId xmlns:a16="http://schemas.microsoft.com/office/drawing/2014/main" id="{00000000-0008-0000-0000-000065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70" name="Text Box 709">
          <a:extLst>
            <a:ext uri="{FF2B5EF4-FFF2-40B4-BE49-F238E27FC236}">
              <a16:creationId xmlns:a16="http://schemas.microsoft.com/office/drawing/2014/main" id="{00000000-0008-0000-0000-000066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71" name="Text Box 710">
          <a:extLst>
            <a:ext uri="{FF2B5EF4-FFF2-40B4-BE49-F238E27FC236}">
              <a16:creationId xmlns:a16="http://schemas.microsoft.com/office/drawing/2014/main" id="{00000000-0008-0000-0000-000067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72" name="Text Box 711">
          <a:extLst>
            <a:ext uri="{FF2B5EF4-FFF2-40B4-BE49-F238E27FC236}">
              <a16:creationId xmlns:a16="http://schemas.microsoft.com/office/drawing/2014/main" id="{00000000-0008-0000-0000-000068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73" name="Text Box 712">
          <a:extLst>
            <a:ext uri="{FF2B5EF4-FFF2-40B4-BE49-F238E27FC236}">
              <a16:creationId xmlns:a16="http://schemas.microsoft.com/office/drawing/2014/main" id="{00000000-0008-0000-0000-000069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74" name="Text Box 713">
          <a:extLst>
            <a:ext uri="{FF2B5EF4-FFF2-40B4-BE49-F238E27FC236}">
              <a16:creationId xmlns:a16="http://schemas.microsoft.com/office/drawing/2014/main" id="{00000000-0008-0000-0000-00006A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75" name="Text Box 714">
          <a:extLst>
            <a:ext uri="{FF2B5EF4-FFF2-40B4-BE49-F238E27FC236}">
              <a16:creationId xmlns:a16="http://schemas.microsoft.com/office/drawing/2014/main" id="{00000000-0008-0000-0000-00006B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76" name="Text Box 715">
          <a:extLst>
            <a:ext uri="{FF2B5EF4-FFF2-40B4-BE49-F238E27FC236}">
              <a16:creationId xmlns:a16="http://schemas.microsoft.com/office/drawing/2014/main" id="{00000000-0008-0000-0000-00006C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77" name="Text Box 716">
          <a:extLst>
            <a:ext uri="{FF2B5EF4-FFF2-40B4-BE49-F238E27FC236}">
              <a16:creationId xmlns:a16="http://schemas.microsoft.com/office/drawing/2014/main" id="{00000000-0008-0000-0000-00006D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78" name="Text Box 717">
          <a:extLst>
            <a:ext uri="{FF2B5EF4-FFF2-40B4-BE49-F238E27FC236}">
              <a16:creationId xmlns:a16="http://schemas.microsoft.com/office/drawing/2014/main" id="{00000000-0008-0000-0000-00006E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79" name="Text Box 718">
          <a:extLst>
            <a:ext uri="{FF2B5EF4-FFF2-40B4-BE49-F238E27FC236}">
              <a16:creationId xmlns:a16="http://schemas.microsoft.com/office/drawing/2014/main" id="{00000000-0008-0000-0000-00006F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80" name="Text Box 719">
          <a:extLst>
            <a:ext uri="{FF2B5EF4-FFF2-40B4-BE49-F238E27FC236}">
              <a16:creationId xmlns:a16="http://schemas.microsoft.com/office/drawing/2014/main" id="{00000000-0008-0000-0000-000070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81" name="Text Box 720">
          <a:extLst>
            <a:ext uri="{FF2B5EF4-FFF2-40B4-BE49-F238E27FC236}">
              <a16:creationId xmlns:a16="http://schemas.microsoft.com/office/drawing/2014/main" id="{00000000-0008-0000-0000-000071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82" name="Text Box 721">
          <a:extLst>
            <a:ext uri="{FF2B5EF4-FFF2-40B4-BE49-F238E27FC236}">
              <a16:creationId xmlns:a16="http://schemas.microsoft.com/office/drawing/2014/main" id="{00000000-0008-0000-0000-000072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83" name="Text Box 722">
          <a:extLst>
            <a:ext uri="{FF2B5EF4-FFF2-40B4-BE49-F238E27FC236}">
              <a16:creationId xmlns:a16="http://schemas.microsoft.com/office/drawing/2014/main" id="{00000000-0008-0000-0000-000073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84" name="Text Box 723">
          <a:extLst>
            <a:ext uri="{FF2B5EF4-FFF2-40B4-BE49-F238E27FC236}">
              <a16:creationId xmlns:a16="http://schemas.microsoft.com/office/drawing/2014/main" id="{00000000-0008-0000-0000-000074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85" name="Text Box 724">
          <a:extLst>
            <a:ext uri="{FF2B5EF4-FFF2-40B4-BE49-F238E27FC236}">
              <a16:creationId xmlns:a16="http://schemas.microsoft.com/office/drawing/2014/main" id="{00000000-0008-0000-0000-000075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86" name="Text Box 725">
          <a:extLst>
            <a:ext uri="{FF2B5EF4-FFF2-40B4-BE49-F238E27FC236}">
              <a16:creationId xmlns:a16="http://schemas.microsoft.com/office/drawing/2014/main" id="{00000000-0008-0000-0000-000076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87" name="Text Box 726">
          <a:extLst>
            <a:ext uri="{FF2B5EF4-FFF2-40B4-BE49-F238E27FC236}">
              <a16:creationId xmlns:a16="http://schemas.microsoft.com/office/drawing/2014/main" id="{00000000-0008-0000-0000-000077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88" name="Text Box 727">
          <a:extLst>
            <a:ext uri="{FF2B5EF4-FFF2-40B4-BE49-F238E27FC236}">
              <a16:creationId xmlns:a16="http://schemas.microsoft.com/office/drawing/2014/main" id="{00000000-0008-0000-0000-000078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89" name="Text Box 728">
          <a:extLst>
            <a:ext uri="{FF2B5EF4-FFF2-40B4-BE49-F238E27FC236}">
              <a16:creationId xmlns:a16="http://schemas.microsoft.com/office/drawing/2014/main" id="{00000000-0008-0000-0000-000079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90" name="Text Box 729">
          <a:extLst>
            <a:ext uri="{FF2B5EF4-FFF2-40B4-BE49-F238E27FC236}">
              <a16:creationId xmlns:a16="http://schemas.microsoft.com/office/drawing/2014/main" id="{00000000-0008-0000-0000-00007A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91" name="Text Box 730">
          <a:extLst>
            <a:ext uri="{FF2B5EF4-FFF2-40B4-BE49-F238E27FC236}">
              <a16:creationId xmlns:a16="http://schemas.microsoft.com/office/drawing/2014/main" id="{00000000-0008-0000-0000-00007B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92" name="Text Box 731">
          <a:extLst>
            <a:ext uri="{FF2B5EF4-FFF2-40B4-BE49-F238E27FC236}">
              <a16:creationId xmlns:a16="http://schemas.microsoft.com/office/drawing/2014/main" id="{00000000-0008-0000-0000-00007C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93" name="Text Box 732">
          <a:extLst>
            <a:ext uri="{FF2B5EF4-FFF2-40B4-BE49-F238E27FC236}">
              <a16:creationId xmlns:a16="http://schemas.microsoft.com/office/drawing/2014/main" id="{00000000-0008-0000-0000-00007D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94" name="Text Box 733">
          <a:extLst>
            <a:ext uri="{FF2B5EF4-FFF2-40B4-BE49-F238E27FC236}">
              <a16:creationId xmlns:a16="http://schemas.microsoft.com/office/drawing/2014/main" id="{00000000-0008-0000-0000-00007E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95" name="Text Box 734">
          <a:extLst>
            <a:ext uri="{FF2B5EF4-FFF2-40B4-BE49-F238E27FC236}">
              <a16:creationId xmlns:a16="http://schemas.microsoft.com/office/drawing/2014/main" id="{00000000-0008-0000-0000-00007F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96" name="Text Box 735">
          <a:extLst>
            <a:ext uri="{FF2B5EF4-FFF2-40B4-BE49-F238E27FC236}">
              <a16:creationId xmlns:a16="http://schemas.microsoft.com/office/drawing/2014/main" id="{00000000-0008-0000-0000-000080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97" name="Text Box 736">
          <a:extLst>
            <a:ext uri="{FF2B5EF4-FFF2-40B4-BE49-F238E27FC236}">
              <a16:creationId xmlns:a16="http://schemas.microsoft.com/office/drawing/2014/main" id="{00000000-0008-0000-0000-000081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98" name="Text Box 737">
          <a:extLst>
            <a:ext uri="{FF2B5EF4-FFF2-40B4-BE49-F238E27FC236}">
              <a16:creationId xmlns:a16="http://schemas.microsoft.com/office/drawing/2014/main" id="{00000000-0008-0000-0000-000082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899" name="Text Box 738">
          <a:extLst>
            <a:ext uri="{FF2B5EF4-FFF2-40B4-BE49-F238E27FC236}">
              <a16:creationId xmlns:a16="http://schemas.microsoft.com/office/drawing/2014/main" id="{00000000-0008-0000-0000-000083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900" name="Text Box 739">
          <a:extLst>
            <a:ext uri="{FF2B5EF4-FFF2-40B4-BE49-F238E27FC236}">
              <a16:creationId xmlns:a16="http://schemas.microsoft.com/office/drawing/2014/main" id="{00000000-0008-0000-0000-000084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901" name="Text Box 740">
          <a:extLst>
            <a:ext uri="{FF2B5EF4-FFF2-40B4-BE49-F238E27FC236}">
              <a16:creationId xmlns:a16="http://schemas.microsoft.com/office/drawing/2014/main" id="{00000000-0008-0000-0000-000085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902" name="Text Box 741">
          <a:extLst>
            <a:ext uri="{FF2B5EF4-FFF2-40B4-BE49-F238E27FC236}">
              <a16:creationId xmlns:a16="http://schemas.microsoft.com/office/drawing/2014/main" id="{00000000-0008-0000-0000-000086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903" name="Text Box 742">
          <a:extLst>
            <a:ext uri="{FF2B5EF4-FFF2-40B4-BE49-F238E27FC236}">
              <a16:creationId xmlns:a16="http://schemas.microsoft.com/office/drawing/2014/main" id="{00000000-0008-0000-0000-000087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904" name="Text Box 743">
          <a:extLst>
            <a:ext uri="{FF2B5EF4-FFF2-40B4-BE49-F238E27FC236}">
              <a16:creationId xmlns:a16="http://schemas.microsoft.com/office/drawing/2014/main" id="{00000000-0008-0000-0000-000088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905" name="Text Box 744">
          <a:extLst>
            <a:ext uri="{FF2B5EF4-FFF2-40B4-BE49-F238E27FC236}">
              <a16:creationId xmlns:a16="http://schemas.microsoft.com/office/drawing/2014/main" id="{00000000-0008-0000-0000-000089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906" name="Text Box 745">
          <a:extLst>
            <a:ext uri="{FF2B5EF4-FFF2-40B4-BE49-F238E27FC236}">
              <a16:creationId xmlns:a16="http://schemas.microsoft.com/office/drawing/2014/main" id="{00000000-0008-0000-0000-00008A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907" name="Text Box 746">
          <a:extLst>
            <a:ext uri="{FF2B5EF4-FFF2-40B4-BE49-F238E27FC236}">
              <a16:creationId xmlns:a16="http://schemas.microsoft.com/office/drawing/2014/main" id="{00000000-0008-0000-0000-00008B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908" name="Text Box 747">
          <a:extLst>
            <a:ext uri="{FF2B5EF4-FFF2-40B4-BE49-F238E27FC236}">
              <a16:creationId xmlns:a16="http://schemas.microsoft.com/office/drawing/2014/main" id="{00000000-0008-0000-0000-00008C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909" name="Text Box 748">
          <a:extLst>
            <a:ext uri="{FF2B5EF4-FFF2-40B4-BE49-F238E27FC236}">
              <a16:creationId xmlns:a16="http://schemas.microsoft.com/office/drawing/2014/main" id="{00000000-0008-0000-0000-00008D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910" name="Text Box 749">
          <a:extLst>
            <a:ext uri="{FF2B5EF4-FFF2-40B4-BE49-F238E27FC236}">
              <a16:creationId xmlns:a16="http://schemas.microsoft.com/office/drawing/2014/main" id="{00000000-0008-0000-0000-00008E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911" name="Text Box 750">
          <a:extLst>
            <a:ext uri="{FF2B5EF4-FFF2-40B4-BE49-F238E27FC236}">
              <a16:creationId xmlns:a16="http://schemas.microsoft.com/office/drawing/2014/main" id="{00000000-0008-0000-0000-00008F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912" name="Text Box 751">
          <a:extLst>
            <a:ext uri="{FF2B5EF4-FFF2-40B4-BE49-F238E27FC236}">
              <a16:creationId xmlns:a16="http://schemas.microsoft.com/office/drawing/2014/main" id="{00000000-0008-0000-0000-000090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913" name="Text Box 752">
          <a:extLst>
            <a:ext uri="{FF2B5EF4-FFF2-40B4-BE49-F238E27FC236}">
              <a16:creationId xmlns:a16="http://schemas.microsoft.com/office/drawing/2014/main" id="{00000000-0008-0000-0000-000091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914" name="Text Box 753">
          <a:extLst>
            <a:ext uri="{FF2B5EF4-FFF2-40B4-BE49-F238E27FC236}">
              <a16:creationId xmlns:a16="http://schemas.microsoft.com/office/drawing/2014/main" id="{00000000-0008-0000-0000-000092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915" name="Text Box 754">
          <a:extLst>
            <a:ext uri="{FF2B5EF4-FFF2-40B4-BE49-F238E27FC236}">
              <a16:creationId xmlns:a16="http://schemas.microsoft.com/office/drawing/2014/main" id="{00000000-0008-0000-0000-000093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916" name="Text Box 755">
          <a:extLst>
            <a:ext uri="{FF2B5EF4-FFF2-40B4-BE49-F238E27FC236}">
              <a16:creationId xmlns:a16="http://schemas.microsoft.com/office/drawing/2014/main" id="{00000000-0008-0000-0000-000094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917" name="Text Box 756">
          <a:extLst>
            <a:ext uri="{FF2B5EF4-FFF2-40B4-BE49-F238E27FC236}">
              <a16:creationId xmlns:a16="http://schemas.microsoft.com/office/drawing/2014/main" id="{00000000-0008-0000-0000-000095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918" name="Text Box 757">
          <a:extLst>
            <a:ext uri="{FF2B5EF4-FFF2-40B4-BE49-F238E27FC236}">
              <a16:creationId xmlns:a16="http://schemas.microsoft.com/office/drawing/2014/main" id="{00000000-0008-0000-0000-000096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919" name="Text Box 758">
          <a:extLst>
            <a:ext uri="{FF2B5EF4-FFF2-40B4-BE49-F238E27FC236}">
              <a16:creationId xmlns:a16="http://schemas.microsoft.com/office/drawing/2014/main" id="{00000000-0008-0000-0000-000097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920" name="Text Box 759">
          <a:extLst>
            <a:ext uri="{FF2B5EF4-FFF2-40B4-BE49-F238E27FC236}">
              <a16:creationId xmlns:a16="http://schemas.microsoft.com/office/drawing/2014/main" id="{00000000-0008-0000-0000-000098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921" name="Text Box 760">
          <a:extLst>
            <a:ext uri="{FF2B5EF4-FFF2-40B4-BE49-F238E27FC236}">
              <a16:creationId xmlns:a16="http://schemas.microsoft.com/office/drawing/2014/main" id="{00000000-0008-0000-0000-000099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922" name="Text Box 761">
          <a:extLst>
            <a:ext uri="{FF2B5EF4-FFF2-40B4-BE49-F238E27FC236}">
              <a16:creationId xmlns:a16="http://schemas.microsoft.com/office/drawing/2014/main" id="{00000000-0008-0000-0000-00009A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923" name="Text Box 762">
          <a:extLst>
            <a:ext uri="{FF2B5EF4-FFF2-40B4-BE49-F238E27FC236}">
              <a16:creationId xmlns:a16="http://schemas.microsoft.com/office/drawing/2014/main" id="{00000000-0008-0000-0000-00009B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924" name="Text Box 763">
          <a:extLst>
            <a:ext uri="{FF2B5EF4-FFF2-40B4-BE49-F238E27FC236}">
              <a16:creationId xmlns:a16="http://schemas.microsoft.com/office/drawing/2014/main" id="{00000000-0008-0000-0000-00009C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925" name="Text Box 764">
          <a:extLst>
            <a:ext uri="{FF2B5EF4-FFF2-40B4-BE49-F238E27FC236}">
              <a16:creationId xmlns:a16="http://schemas.microsoft.com/office/drawing/2014/main" id="{00000000-0008-0000-0000-00009D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926" name="Text Box 765">
          <a:extLst>
            <a:ext uri="{FF2B5EF4-FFF2-40B4-BE49-F238E27FC236}">
              <a16:creationId xmlns:a16="http://schemas.microsoft.com/office/drawing/2014/main" id="{00000000-0008-0000-0000-00009E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927" name="Text Box 766">
          <a:extLst>
            <a:ext uri="{FF2B5EF4-FFF2-40B4-BE49-F238E27FC236}">
              <a16:creationId xmlns:a16="http://schemas.microsoft.com/office/drawing/2014/main" id="{00000000-0008-0000-0000-00009F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928" name="Text Box 767">
          <a:extLst>
            <a:ext uri="{FF2B5EF4-FFF2-40B4-BE49-F238E27FC236}">
              <a16:creationId xmlns:a16="http://schemas.microsoft.com/office/drawing/2014/main" id="{00000000-0008-0000-0000-0000A0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929" name="Text Box 768">
          <a:extLst>
            <a:ext uri="{FF2B5EF4-FFF2-40B4-BE49-F238E27FC236}">
              <a16:creationId xmlns:a16="http://schemas.microsoft.com/office/drawing/2014/main" id="{00000000-0008-0000-0000-0000A1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930" name="Text Box 769">
          <a:extLst>
            <a:ext uri="{FF2B5EF4-FFF2-40B4-BE49-F238E27FC236}">
              <a16:creationId xmlns:a16="http://schemas.microsoft.com/office/drawing/2014/main" id="{00000000-0008-0000-0000-0000A2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931" name="Text Box 770">
          <a:extLst>
            <a:ext uri="{FF2B5EF4-FFF2-40B4-BE49-F238E27FC236}">
              <a16:creationId xmlns:a16="http://schemas.microsoft.com/office/drawing/2014/main" id="{00000000-0008-0000-0000-0000A3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932" name="Text Box 771">
          <a:extLst>
            <a:ext uri="{FF2B5EF4-FFF2-40B4-BE49-F238E27FC236}">
              <a16:creationId xmlns:a16="http://schemas.microsoft.com/office/drawing/2014/main" id="{00000000-0008-0000-0000-0000A4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933" name="Text Box 772">
          <a:extLst>
            <a:ext uri="{FF2B5EF4-FFF2-40B4-BE49-F238E27FC236}">
              <a16:creationId xmlns:a16="http://schemas.microsoft.com/office/drawing/2014/main" id="{00000000-0008-0000-0000-0000A5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934" name="Text Box 773">
          <a:extLst>
            <a:ext uri="{FF2B5EF4-FFF2-40B4-BE49-F238E27FC236}">
              <a16:creationId xmlns:a16="http://schemas.microsoft.com/office/drawing/2014/main" id="{00000000-0008-0000-0000-0000A6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935" name="Text Box 774">
          <a:extLst>
            <a:ext uri="{FF2B5EF4-FFF2-40B4-BE49-F238E27FC236}">
              <a16:creationId xmlns:a16="http://schemas.microsoft.com/office/drawing/2014/main" id="{00000000-0008-0000-0000-0000A7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936" name="Text Box 775">
          <a:extLst>
            <a:ext uri="{FF2B5EF4-FFF2-40B4-BE49-F238E27FC236}">
              <a16:creationId xmlns:a16="http://schemas.microsoft.com/office/drawing/2014/main" id="{00000000-0008-0000-0000-0000A8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937" name="Text Box 776">
          <a:extLst>
            <a:ext uri="{FF2B5EF4-FFF2-40B4-BE49-F238E27FC236}">
              <a16:creationId xmlns:a16="http://schemas.microsoft.com/office/drawing/2014/main" id="{00000000-0008-0000-0000-0000A9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938" name="Text Box 777">
          <a:extLst>
            <a:ext uri="{FF2B5EF4-FFF2-40B4-BE49-F238E27FC236}">
              <a16:creationId xmlns:a16="http://schemas.microsoft.com/office/drawing/2014/main" id="{00000000-0008-0000-0000-0000AA030000}"/>
            </a:ext>
          </a:extLst>
        </xdr:cNvPr>
        <xdr:cNvSpPr>
          <a:spLocks noChangeArrowheads="1"/>
        </xdr:cNvSpPr>
      </xdr:nvSpPr>
      <xdr:spPr bwMode="auto">
        <a:xfrm>
          <a:off x="33470850" y="23907750"/>
          <a:ext cx="14859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939" name="Text Box 693">
          <a:extLst>
            <a:ext uri="{FF2B5EF4-FFF2-40B4-BE49-F238E27FC236}">
              <a16:creationId xmlns:a16="http://schemas.microsoft.com/office/drawing/2014/main" id="{00000000-0008-0000-0000-0000AB03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940" name="Text Box 694">
          <a:extLst>
            <a:ext uri="{FF2B5EF4-FFF2-40B4-BE49-F238E27FC236}">
              <a16:creationId xmlns:a16="http://schemas.microsoft.com/office/drawing/2014/main" id="{00000000-0008-0000-0000-0000AC03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941" name="Text Box 695">
          <a:extLst>
            <a:ext uri="{FF2B5EF4-FFF2-40B4-BE49-F238E27FC236}">
              <a16:creationId xmlns:a16="http://schemas.microsoft.com/office/drawing/2014/main" id="{00000000-0008-0000-0000-0000AD03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942" name="Text Box 696">
          <a:extLst>
            <a:ext uri="{FF2B5EF4-FFF2-40B4-BE49-F238E27FC236}">
              <a16:creationId xmlns:a16="http://schemas.microsoft.com/office/drawing/2014/main" id="{00000000-0008-0000-0000-0000AE03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943" name="Text Box 697">
          <a:extLst>
            <a:ext uri="{FF2B5EF4-FFF2-40B4-BE49-F238E27FC236}">
              <a16:creationId xmlns:a16="http://schemas.microsoft.com/office/drawing/2014/main" id="{00000000-0008-0000-0000-0000AF03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944" name="Text Box 698">
          <a:extLst>
            <a:ext uri="{FF2B5EF4-FFF2-40B4-BE49-F238E27FC236}">
              <a16:creationId xmlns:a16="http://schemas.microsoft.com/office/drawing/2014/main" id="{00000000-0008-0000-0000-0000B003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945" name="Text Box 699">
          <a:extLst>
            <a:ext uri="{FF2B5EF4-FFF2-40B4-BE49-F238E27FC236}">
              <a16:creationId xmlns:a16="http://schemas.microsoft.com/office/drawing/2014/main" id="{00000000-0008-0000-0000-0000B103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946" name="Text Box 700">
          <a:extLst>
            <a:ext uri="{FF2B5EF4-FFF2-40B4-BE49-F238E27FC236}">
              <a16:creationId xmlns:a16="http://schemas.microsoft.com/office/drawing/2014/main" id="{00000000-0008-0000-0000-0000B203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947" name="Text Box 701">
          <a:extLst>
            <a:ext uri="{FF2B5EF4-FFF2-40B4-BE49-F238E27FC236}">
              <a16:creationId xmlns:a16="http://schemas.microsoft.com/office/drawing/2014/main" id="{00000000-0008-0000-0000-0000B303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948" name="Text Box 702">
          <a:extLst>
            <a:ext uri="{FF2B5EF4-FFF2-40B4-BE49-F238E27FC236}">
              <a16:creationId xmlns:a16="http://schemas.microsoft.com/office/drawing/2014/main" id="{00000000-0008-0000-0000-0000B403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949" name="Text Box 703">
          <a:extLst>
            <a:ext uri="{FF2B5EF4-FFF2-40B4-BE49-F238E27FC236}">
              <a16:creationId xmlns:a16="http://schemas.microsoft.com/office/drawing/2014/main" id="{00000000-0008-0000-0000-0000B503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950" name="Text Box 704">
          <a:extLst>
            <a:ext uri="{FF2B5EF4-FFF2-40B4-BE49-F238E27FC236}">
              <a16:creationId xmlns:a16="http://schemas.microsoft.com/office/drawing/2014/main" id="{00000000-0008-0000-0000-0000B603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951" name="Text Box 705">
          <a:extLst>
            <a:ext uri="{FF2B5EF4-FFF2-40B4-BE49-F238E27FC236}">
              <a16:creationId xmlns:a16="http://schemas.microsoft.com/office/drawing/2014/main" id="{00000000-0008-0000-0000-0000B703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952" name="Text Box 706">
          <a:extLst>
            <a:ext uri="{FF2B5EF4-FFF2-40B4-BE49-F238E27FC236}">
              <a16:creationId xmlns:a16="http://schemas.microsoft.com/office/drawing/2014/main" id="{00000000-0008-0000-0000-0000B803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953" name="Text Box 707">
          <a:extLst>
            <a:ext uri="{FF2B5EF4-FFF2-40B4-BE49-F238E27FC236}">
              <a16:creationId xmlns:a16="http://schemas.microsoft.com/office/drawing/2014/main" id="{00000000-0008-0000-0000-0000B903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954" name="Text Box 708">
          <a:extLst>
            <a:ext uri="{FF2B5EF4-FFF2-40B4-BE49-F238E27FC236}">
              <a16:creationId xmlns:a16="http://schemas.microsoft.com/office/drawing/2014/main" id="{00000000-0008-0000-0000-0000BA03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955" name="Text Box 709">
          <a:extLst>
            <a:ext uri="{FF2B5EF4-FFF2-40B4-BE49-F238E27FC236}">
              <a16:creationId xmlns:a16="http://schemas.microsoft.com/office/drawing/2014/main" id="{00000000-0008-0000-0000-0000BB03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956" name="Text Box 710">
          <a:extLst>
            <a:ext uri="{FF2B5EF4-FFF2-40B4-BE49-F238E27FC236}">
              <a16:creationId xmlns:a16="http://schemas.microsoft.com/office/drawing/2014/main" id="{00000000-0008-0000-0000-0000BC03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957" name="Text Box 711">
          <a:extLst>
            <a:ext uri="{FF2B5EF4-FFF2-40B4-BE49-F238E27FC236}">
              <a16:creationId xmlns:a16="http://schemas.microsoft.com/office/drawing/2014/main" id="{00000000-0008-0000-0000-0000BD03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958" name="Text Box 712">
          <a:extLst>
            <a:ext uri="{FF2B5EF4-FFF2-40B4-BE49-F238E27FC236}">
              <a16:creationId xmlns:a16="http://schemas.microsoft.com/office/drawing/2014/main" id="{00000000-0008-0000-0000-0000BE03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959" name="Text Box 713">
          <a:extLst>
            <a:ext uri="{FF2B5EF4-FFF2-40B4-BE49-F238E27FC236}">
              <a16:creationId xmlns:a16="http://schemas.microsoft.com/office/drawing/2014/main" id="{00000000-0008-0000-0000-0000BF03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960" name="Text Box 714">
          <a:extLst>
            <a:ext uri="{FF2B5EF4-FFF2-40B4-BE49-F238E27FC236}">
              <a16:creationId xmlns:a16="http://schemas.microsoft.com/office/drawing/2014/main" id="{00000000-0008-0000-0000-0000C003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961" name="Text Box 715">
          <a:extLst>
            <a:ext uri="{FF2B5EF4-FFF2-40B4-BE49-F238E27FC236}">
              <a16:creationId xmlns:a16="http://schemas.microsoft.com/office/drawing/2014/main" id="{00000000-0008-0000-0000-0000C103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962" name="Text Box 716">
          <a:extLst>
            <a:ext uri="{FF2B5EF4-FFF2-40B4-BE49-F238E27FC236}">
              <a16:creationId xmlns:a16="http://schemas.microsoft.com/office/drawing/2014/main" id="{00000000-0008-0000-0000-0000C203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963" name="Text Box 717">
          <a:extLst>
            <a:ext uri="{FF2B5EF4-FFF2-40B4-BE49-F238E27FC236}">
              <a16:creationId xmlns:a16="http://schemas.microsoft.com/office/drawing/2014/main" id="{00000000-0008-0000-0000-0000C303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964" name="Text Box 718">
          <a:extLst>
            <a:ext uri="{FF2B5EF4-FFF2-40B4-BE49-F238E27FC236}">
              <a16:creationId xmlns:a16="http://schemas.microsoft.com/office/drawing/2014/main" id="{00000000-0008-0000-0000-0000C403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965" name="Text Box 719">
          <a:extLst>
            <a:ext uri="{FF2B5EF4-FFF2-40B4-BE49-F238E27FC236}">
              <a16:creationId xmlns:a16="http://schemas.microsoft.com/office/drawing/2014/main" id="{00000000-0008-0000-0000-0000C503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966" name="Text Box 720">
          <a:extLst>
            <a:ext uri="{FF2B5EF4-FFF2-40B4-BE49-F238E27FC236}">
              <a16:creationId xmlns:a16="http://schemas.microsoft.com/office/drawing/2014/main" id="{00000000-0008-0000-0000-0000C603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967" name="Text Box 721">
          <a:extLst>
            <a:ext uri="{FF2B5EF4-FFF2-40B4-BE49-F238E27FC236}">
              <a16:creationId xmlns:a16="http://schemas.microsoft.com/office/drawing/2014/main" id="{00000000-0008-0000-0000-0000C703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968" name="Text Box 722">
          <a:extLst>
            <a:ext uri="{FF2B5EF4-FFF2-40B4-BE49-F238E27FC236}">
              <a16:creationId xmlns:a16="http://schemas.microsoft.com/office/drawing/2014/main" id="{00000000-0008-0000-0000-0000C803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969" name="Text Box 723">
          <a:extLst>
            <a:ext uri="{FF2B5EF4-FFF2-40B4-BE49-F238E27FC236}">
              <a16:creationId xmlns:a16="http://schemas.microsoft.com/office/drawing/2014/main" id="{00000000-0008-0000-0000-0000C903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970" name="Text Box 724">
          <a:extLst>
            <a:ext uri="{FF2B5EF4-FFF2-40B4-BE49-F238E27FC236}">
              <a16:creationId xmlns:a16="http://schemas.microsoft.com/office/drawing/2014/main" id="{00000000-0008-0000-0000-0000CA03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971" name="Text Box 725">
          <a:extLst>
            <a:ext uri="{FF2B5EF4-FFF2-40B4-BE49-F238E27FC236}">
              <a16:creationId xmlns:a16="http://schemas.microsoft.com/office/drawing/2014/main" id="{00000000-0008-0000-0000-0000CB03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972" name="Text Box 726">
          <a:extLst>
            <a:ext uri="{FF2B5EF4-FFF2-40B4-BE49-F238E27FC236}">
              <a16:creationId xmlns:a16="http://schemas.microsoft.com/office/drawing/2014/main" id="{00000000-0008-0000-0000-0000CC03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973" name="Text Box 727">
          <a:extLst>
            <a:ext uri="{FF2B5EF4-FFF2-40B4-BE49-F238E27FC236}">
              <a16:creationId xmlns:a16="http://schemas.microsoft.com/office/drawing/2014/main" id="{00000000-0008-0000-0000-0000CD03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974" name="Text Box 728">
          <a:extLst>
            <a:ext uri="{FF2B5EF4-FFF2-40B4-BE49-F238E27FC236}">
              <a16:creationId xmlns:a16="http://schemas.microsoft.com/office/drawing/2014/main" id="{00000000-0008-0000-0000-0000CE03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975" name="Text Box 729">
          <a:extLst>
            <a:ext uri="{FF2B5EF4-FFF2-40B4-BE49-F238E27FC236}">
              <a16:creationId xmlns:a16="http://schemas.microsoft.com/office/drawing/2014/main" id="{00000000-0008-0000-0000-0000CF03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976" name="Text Box 730">
          <a:extLst>
            <a:ext uri="{FF2B5EF4-FFF2-40B4-BE49-F238E27FC236}">
              <a16:creationId xmlns:a16="http://schemas.microsoft.com/office/drawing/2014/main" id="{00000000-0008-0000-0000-0000D003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977" name="Text Box 731">
          <a:extLst>
            <a:ext uri="{FF2B5EF4-FFF2-40B4-BE49-F238E27FC236}">
              <a16:creationId xmlns:a16="http://schemas.microsoft.com/office/drawing/2014/main" id="{00000000-0008-0000-0000-0000D103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978" name="Text Box 732">
          <a:extLst>
            <a:ext uri="{FF2B5EF4-FFF2-40B4-BE49-F238E27FC236}">
              <a16:creationId xmlns:a16="http://schemas.microsoft.com/office/drawing/2014/main" id="{00000000-0008-0000-0000-0000D203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979" name="Text Box 733">
          <a:extLst>
            <a:ext uri="{FF2B5EF4-FFF2-40B4-BE49-F238E27FC236}">
              <a16:creationId xmlns:a16="http://schemas.microsoft.com/office/drawing/2014/main" id="{00000000-0008-0000-0000-0000D303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980" name="Text Box 734">
          <a:extLst>
            <a:ext uri="{FF2B5EF4-FFF2-40B4-BE49-F238E27FC236}">
              <a16:creationId xmlns:a16="http://schemas.microsoft.com/office/drawing/2014/main" id="{00000000-0008-0000-0000-0000D403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981" name="Text Box 735">
          <a:extLst>
            <a:ext uri="{FF2B5EF4-FFF2-40B4-BE49-F238E27FC236}">
              <a16:creationId xmlns:a16="http://schemas.microsoft.com/office/drawing/2014/main" id="{00000000-0008-0000-0000-0000D503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982" name="Text Box 736">
          <a:extLst>
            <a:ext uri="{FF2B5EF4-FFF2-40B4-BE49-F238E27FC236}">
              <a16:creationId xmlns:a16="http://schemas.microsoft.com/office/drawing/2014/main" id="{00000000-0008-0000-0000-0000D603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983" name="Text Box 737">
          <a:extLst>
            <a:ext uri="{FF2B5EF4-FFF2-40B4-BE49-F238E27FC236}">
              <a16:creationId xmlns:a16="http://schemas.microsoft.com/office/drawing/2014/main" id="{00000000-0008-0000-0000-0000D703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984" name="Text Box 738">
          <a:extLst>
            <a:ext uri="{FF2B5EF4-FFF2-40B4-BE49-F238E27FC236}">
              <a16:creationId xmlns:a16="http://schemas.microsoft.com/office/drawing/2014/main" id="{00000000-0008-0000-0000-0000D803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985" name="Text Box 739">
          <a:extLst>
            <a:ext uri="{FF2B5EF4-FFF2-40B4-BE49-F238E27FC236}">
              <a16:creationId xmlns:a16="http://schemas.microsoft.com/office/drawing/2014/main" id="{00000000-0008-0000-0000-0000D903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986" name="Text Box 740">
          <a:extLst>
            <a:ext uri="{FF2B5EF4-FFF2-40B4-BE49-F238E27FC236}">
              <a16:creationId xmlns:a16="http://schemas.microsoft.com/office/drawing/2014/main" id="{00000000-0008-0000-0000-0000DA03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987" name="Text Box 741">
          <a:extLst>
            <a:ext uri="{FF2B5EF4-FFF2-40B4-BE49-F238E27FC236}">
              <a16:creationId xmlns:a16="http://schemas.microsoft.com/office/drawing/2014/main" id="{00000000-0008-0000-0000-0000DB03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988" name="Text Box 742">
          <a:extLst>
            <a:ext uri="{FF2B5EF4-FFF2-40B4-BE49-F238E27FC236}">
              <a16:creationId xmlns:a16="http://schemas.microsoft.com/office/drawing/2014/main" id="{00000000-0008-0000-0000-0000DC03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989" name="Text Box 743">
          <a:extLst>
            <a:ext uri="{FF2B5EF4-FFF2-40B4-BE49-F238E27FC236}">
              <a16:creationId xmlns:a16="http://schemas.microsoft.com/office/drawing/2014/main" id="{00000000-0008-0000-0000-0000DD03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990" name="Text Box 744">
          <a:extLst>
            <a:ext uri="{FF2B5EF4-FFF2-40B4-BE49-F238E27FC236}">
              <a16:creationId xmlns:a16="http://schemas.microsoft.com/office/drawing/2014/main" id="{00000000-0008-0000-0000-0000DE03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991" name="Text Box 745">
          <a:extLst>
            <a:ext uri="{FF2B5EF4-FFF2-40B4-BE49-F238E27FC236}">
              <a16:creationId xmlns:a16="http://schemas.microsoft.com/office/drawing/2014/main" id="{00000000-0008-0000-0000-0000DF03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992" name="Text Box 746">
          <a:extLst>
            <a:ext uri="{FF2B5EF4-FFF2-40B4-BE49-F238E27FC236}">
              <a16:creationId xmlns:a16="http://schemas.microsoft.com/office/drawing/2014/main" id="{00000000-0008-0000-0000-0000E003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993" name="Text Box 747">
          <a:extLst>
            <a:ext uri="{FF2B5EF4-FFF2-40B4-BE49-F238E27FC236}">
              <a16:creationId xmlns:a16="http://schemas.microsoft.com/office/drawing/2014/main" id="{00000000-0008-0000-0000-0000E103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994" name="Text Box 748">
          <a:extLst>
            <a:ext uri="{FF2B5EF4-FFF2-40B4-BE49-F238E27FC236}">
              <a16:creationId xmlns:a16="http://schemas.microsoft.com/office/drawing/2014/main" id="{00000000-0008-0000-0000-0000E203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995" name="Text Box 749">
          <a:extLst>
            <a:ext uri="{FF2B5EF4-FFF2-40B4-BE49-F238E27FC236}">
              <a16:creationId xmlns:a16="http://schemas.microsoft.com/office/drawing/2014/main" id="{00000000-0008-0000-0000-0000E303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996" name="Text Box 750">
          <a:extLst>
            <a:ext uri="{FF2B5EF4-FFF2-40B4-BE49-F238E27FC236}">
              <a16:creationId xmlns:a16="http://schemas.microsoft.com/office/drawing/2014/main" id="{00000000-0008-0000-0000-0000E403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997" name="Text Box 751">
          <a:extLst>
            <a:ext uri="{FF2B5EF4-FFF2-40B4-BE49-F238E27FC236}">
              <a16:creationId xmlns:a16="http://schemas.microsoft.com/office/drawing/2014/main" id="{00000000-0008-0000-0000-0000E503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998" name="Text Box 752">
          <a:extLst>
            <a:ext uri="{FF2B5EF4-FFF2-40B4-BE49-F238E27FC236}">
              <a16:creationId xmlns:a16="http://schemas.microsoft.com/office/drawing/2014/main" id="{00000000-0008-0000-0000-0000E603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999" name="Text Box 753">
          <a:extLst>
            <a:ext uri="{FF2B5EF4-FFF2-40B4-BE49-F238E27FC236}">
              <a16:creationId xmlns:a16="http://schemas.microsoft.com/office/drawing/2014/main" id="{00000000-0008-0000-0000-0000E703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00" name="Text Box 754">
          <a:extLst>
            <a:ext uri="{FF2B5EF4-FFF2-40B4-BE49-F238E27FC236}">
              <a16:creationId xmlns:a16="http://schemas.microsoft.com/office/drawing/2014/main" id="{00000000-0008-0000-0000-0000E803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01" name="Text Box 755">
          <a:extLst>
            <a:ext uri="{FF2B5EF4-FFF2-40B4-BE49-F238E27FC236}">
              <a16:creationId xmlns:a16="http://schemas.microsoft.com/office/drawing/2014/main" id="{00000000-0008-0000-0000-0000E903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02" name="Text Box 756">
          <a:extLst>
            <a:ext uri="{FF2B5EF4-FFF2-40B4-BE49-F238E27FC236}">
              <a16:creationId xmlns:a16="http://schemas.microsoft.com/office/drawing/2014/main" id="{00000000-0008-0000-0000-0000EA03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03" name="Text Box 757">
          <a:extLst>
            <a:ext uri="{FF2B5EF4-FFF2-40B4-BE49-F238E27FC236}">
              <a16:creationId xmlns:a16="http://schemas.microsoft.com/office/drawing/2014/main" id="{00000000-0008-0000-0000-0000EB03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04" name="Text Box 758">
          <a:extLst>
            <a:ext uri="{FF2B5EF4-FFF2-40B4-BE49-F238E27FC236}">
              <a16:creationId xmlns:a16="http://schemas.microsoft.com/office/drawing/2014/main" id="{00000000-0008-0000-0000-0000EC03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05" name="Text Box 759">
          <a:extLst>
            <a:ext uri="{FF2B5EF4-FFF2-40B4-BE49-F238E27FC236}">
              <a16:creationId xmlns:a16="http://schemas.microsoft.com/office/drawing/2014/main" id="{00000000-0008-0000-0000-0000ED03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06" name="Text Box 760">
          <a:extLst>
            <a:ext uri="{FF2B5EF4-FFF2-40B4-BE49-F238E27FC236}">
              <a16:creationId xmlns:a16="http://schemas.microsoft.com/office/drawing/2014/main" id="{00000000-0008-0000-0000-0000EE03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07" name="Text Box 761">
          <a:extLst>
            <a:ext uri="{FF2B5EF4-FFF2-40B4-BE49-F238E27FC236}">
              <a16:creationId xmlns:a16="http://schemas.microsoft.com/office/drawing/2014/main" id="{00000000-0008-0000-0000-0000EF03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08" name="Text Box 762">
          <a:extLst>
            <a:ext uri="{FF2B5EF4-FFF2-40B4-BE49-F238E27FC236}">
              <a16:creationId xmlns:a16="http://schemas.microsoft.com/office/drawing/2014/main" id="{00000000-0008-0000-0000-0000F003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09" name="Text Box 763">
          <a:extLst>
            <a:ext uri="{FF2B5EF4-FFF2-40B4-BE49-F238E27FC236}">
              <a16:creationId xmlns:a16="http://schemas.microsoft.com/office/drawing/2014/main" id="{00000000-0008-0000-0000-0000F103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10" name="Text Box 764">
          <a:extLst>
            <a:ext uri="{FF2B5EF4-FFF2-40B4-BE49-F238E27FC236}">
              <a16:creationId xmlns:a16="http://schemas.microsoft.com/office/drawing/2014/main" id="{00000000-0008-0000-0000-0000F203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11" name="Text Box 765">
          <a:extLst>
            <a:ext uri="{FF2B5EF4-FFF2-40B4-BE49-F238E27FC236}">
              <a16:creationId xmlns:a16="http://schemas.microsoft.com/office/drawing/2014/main" id="{00000000-0008-0000-0000-0000F303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12" name="Text Box 766">
          <a:extLst>
            <a:ext uri="{FF2B5EF4-FFF2-40B4-BE49-F238E27FC236}">
              <a16:creationId xmlns:a16="http://schemas.microsoft.com/office/drawing/2014/main" id="{00000000-0008-0000-0000-0000F403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13" name="Text Box 767">
          <a:extLst>
            <a:ext uri="{FF2B5EF4-FFF2-40B4-BE49-F238E27FC236}">
              <a16:creationId xmlns:a16="http://schemas.microsoft.com/office/drawing/2014/main" id="{00000000-0008-0000-0000-0000F503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14" name="Text Box 768">
          <a:extLst>
            <a:ext uri="{FF2B5EF4-FFF2-40B4-BE49-F238E27FC236}">
              <a16:creationId xmlns:a16="http://schemas.microsoft.com/office/drawing/2014/main" id="{00000000-0008-0000-0000-0000F603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15" name="Text Box 769">
          <a:extLst>
            <a:ext uri="{FF2B5EF4-FFF2-40B4-BE49-F238E27FC236}">
              <a16:creationId xmlns:a16="http://schemas.microsoft.com/office/drawing/2014/main" id="{00000000-0008-0000-0000-0000F703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16" name="Text Box 770">
          <a:extLst>
            <a:ext uri="{FF2B5EF4-FFF2-40B4-BE49-F238E27FC236}">
              <a16:creationId xmlns:a16="http://schemas.microsoft.com/office/drawing/2014/main" id="{00000000-0008-0000-0000-0000F803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17" name="Text Box 771">
          <a:extLst>
            <a:ext uri="{FF2B5EF4-FFF2-40B4-BE49-F238E27FC236}">
              <a16:creationId xmlns:a16="http://schemas.microsoft.com/office/drawing/2014/main" id="{00000000-0008-0000-0000-0000F903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18" name="Text Box 772">
          <a:extLst>
            <a:ext uri="{FF2B5EF4-FFF2-40B4-BE49-F238E27FC236}">
              <a16:creationId xmlns:a16="http://schemas.microsoft.com/office/drawing/2014/main" id="{00000000-0008-0000-0000-0000FA03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19" name="Text Box 773">
          <a:extLst>
            <a:ext uri="{FF2B5EF4-FFF2-40B4-BE49-F238E27FC236}">
              <a16:creationId xmlns:a16="http://schemas.microsoft.com/office/drawing/2014/main" id="{00000000-0008-0000-0000-0000FB03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20" name="Text Box 774">
          <a:extLst>
            <a:ext uri="{FF2B5EF4-FFF2-40B4-BE49-F238E27FC236}">
              <a16:creationId xmlns:a16="http://schemas.microsoft.com/office/drawing/2014/main" id="{00000000-0008-0000-0000-0000FC03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21" name="Text Box 775">
          <a:extLst>
            <a:ext uri="{FF2B5EF4-FFF2-40B4-BE49-F238E27FC236}">
              <a16:creationId xmlns:a16="http://schemas.microsoft.com/office/drawing/2014/main" id="{00000000-0008-0000-0000-0000FD03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22" name="Text Box 776">
          <a:extLst>
            <a:ext uri="{FF2B5EF4-FFF2-40B4-BE49-F238E27FC236}">
              <a16:creationId xmlns:a16="http://schemas.microsoft.com/office/drawing/2014/main" id="{00000000-0008-0000-0000-0000FE03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23" name="Text Box 777">
          <a:extLst>
            <a:ext uri="{FF2B5EF4-FFF2-40B4-BE49-F238E27FC236}">
              <a16:creationId xmlns:a16="http://schemas.microsoft.com/office/drawing/2014/main" id="{00000000-0008-0000-0000-0000FF03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24" name="Text Box 693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25" name="Text Box 694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26" name="Text Box 695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27" name="Text Box 696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28" name="Text Box 697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29" name="Text Box 698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30" name="Text Box 699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31" name="Text Box 700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32" name="Text Box 701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33" name="Text Box 702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34" name="Text Box 703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35" name="Text Box 704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36" name="Text Box 705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37" name="Text Box 706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38" name="Text Box 707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39" name="Text Box 708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40" name="Text Box 709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41" name="Text Box 710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42" name="Text Box 711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43" name="Text Box 712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44" name="Text Box 713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45" name="Text Box 714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46" name="Text Box 715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47" name="Text Box 716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48" name="Text Box 717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49" name="Text Box 718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50" name="Text Box 719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51" name="Text Box 720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52" name="Text Box 721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53" name="Text Box 722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54" name="Text Box 723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55" name="Text Box 724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56" name="Text Box 725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57" name="Text Box 726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58" name="Text Box 727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59" name="Text Box 728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60" name="Text Box 729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61" name="Text Box 730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62" name="Text Box 731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63" name="Text Box 732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64" name="Text Box 733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65" name="Text Box 734">
          <a:extLs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66" name="Text Box 735"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67" name="Text Box 736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68" name="Text Box 737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69" name="Text Box 738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70" name="Text Box 739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71" name="Text Box 740"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72" name="Text Box 741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73" name="Text Box 742"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74" name="Text Box 743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75" name="Text Box 744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76" name="Text Box 745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77" name="Text Box 746"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78" name="Text Box 747">
          <a:extLs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79" name="Text Box 748">
          <a:extLs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80" name="Text Box 749">
          <a:extLs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81" name="Text Box 750">
          <a:extLs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82" name="Text Box 751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83" name="Text Box 752">
          <a:extLs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84" name="Text Box 753"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85" name="Text Box 754">
          <a:extLs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86" name="Text Box 755">
          <a:extLs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87" name="Text Box 756">
          <a:extLst>
            <a:ext uri="{FF2B5EF4-FFF2-40B4-BE49-F238E27FC236}">
              <a16:creationId xmlns:a16="http://schemas.microsoft.com/office/drawing/2014/main" id="{00000000-0008-0000-0000-00003F04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88" name="Text Box 757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89" name="Text Box 758">
          <a:extLs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90" name="Text Box 759">
          <a:extLs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91" name="Text Box 760">
          <a:extLs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92" name="Text Box 761">
          <a:extLs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93" name="Text Box 762">
          <a:extLst>
            <a:ext uri="{FF2B5EF4-FFF2-40B4-BE49-F238E27FC236}">
              <a16:creationId xmlns:a16="http://schemas.microsoft.com/office/drawing/2014/main" id="{00000000-0008-0000-0000-00004504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94" name="Text Box 763">
          <a:extLst>
            <a:ext uri="{FF2B5EF4-FFF2-40B4-BE49-F238E27FC236}">
              <a16:creationId xmlns:a16="http://schemas.microsoft.com/office/drawing/2014/main" id="{00000000-0008-0000-0000-00004604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95" name="Text Box 764">
          <a:extLst>
            <a:ext uri="{FF2B5EF4-FFF2-40B4-BE49-F238E27FC236}">
              <a16:creationId xmlns:a16="http://schemas.microsoft.com/office/drawing/2014/main" id="{00000000-0008-0000-0000-00004704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96" name="Text Box 765">
          <a:extLst>
            <a:ext uri="{FF2B5EF4-FFF2-40B4-BE49-F238E27FC236}">
              <a16:creationId xmlns:a16="http://schemas.microsoft.com/office/drawing/2014/main" id="{00000000-0008-0000-0000-00004804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97" name="Text Box 766">
          <a:extLst>
            <a:ext uri="{FF2B5EF4-FFF2-40B4-BE49-F238E27FC236}">
              <a16:creationId xmlns:a16="http://schemas.microsoft.com/office/drawing/2014/main" id="{00000000-0008-0000-0000-00004904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98" name="Text Box 767">
          <a:extLst>
            <a:ext uri="{FF2B5EF4-FFF2-40B4-BE49-F238E27FC236}">
              <a16:creationId xmlns:a16="http://schemas.microsoft.com/office/drawing/2014/main" id="{00000000-0008-0000-0000-00004A04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099" name="Text Box 768">
          <a:extLst>
            <a:ext uri="{FF2B5EF4-FFF2-40B4-BE49-F238E27FC236}">
              <a16:creationId xmlns:a16="http://schemas.microsoft.com/office/drawing/2014/main" id="{00000000-0008-0000-0000-00004B04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100" name="Text Box 769">
          <a:extLs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101" name="Text Box 770">
          <a:extLs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102" name="Text Box 771">
          <a:extLst>
            <a:ext uri="{FF2B5EF4-FFF2-40B4-BE49-F238E27FC236}">
              <a16:creationId xmlns:a16="http://schemas.microsoft.com/office/drawing/2014/main" id="{00000000-0008-0000-0000-00004E04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103" name="Text Box 772">
          <a:extLst>
            <a:ext uri="{FF2B5EF4-FFF2-40B4-BE49-F238E27FC236}">
              <a16:creationId xmlns:a16="http://schemas.microsoft.com/office/drawing/2014/main" id="{00000000-0008-0000-0000-00004F04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104" name="Text Box 773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105" name="Text Box 774">
          <a:extLst>
            <a:ext uri="{FF2B5EF4-FFF2-40B4-BE49-F238E27FC236}">
              <a16:creationId xmlns:a16="http://schemas.microsoft.com/office/drawing/2014/main" id="{00000000-0008-0000-0000-00005104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106" name="Text Box 775">
          <a:extLs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107" name="Text Box 776">
          <a:extLst>
            <a:ext uri="{FF2B5EF4-FFF2-40B4-BE49-F238E27FC236}">
              <a16:creationId xmlns:a16="http://schemas.microsoft.com/office/drawing/2014/main" id="{00000000-0008-0000-0000-00005304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1108" name="Text Box 777">
          <a:extLst>
            <a:ext uri="{FF2B5EF4-FFF2-40B4-BE49-F238E27FC236}">
              <a16:creationId xmlns:a16="http://schemas.microsoft.com/office/drawing/2014/main" id="{00000000-0008-0000-0000-000054040000}"/>
            </a:ext>
          </a:extLst>
        </xdr:cNvPr>
        <xdr:cNvSpPr>
          <a:spLocks noChangeArrowheads="1"/>
        </xdr:cNvSpPr>
      </xdr:nvSpPr>
      <xdr:spPr bwMode="auto">
        <a:xfrm>
          <a:off x="38823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109" name="Text Box 693">
          <a:extLst>
            <a:ext uri="{FF2B5EF4-FFF2-40B4-BE49-F238E27FC236}">
              <a16:creationId xmlns:a16="http://schemas.microsoft.com/office/drawing/2014/main" id="{00000000-0008-0000-0000-000055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110" name="Text Box 694">
          <a:extLst>
            <a:ext uri="{FF2B5EF4-FFF2-40B4-BE49-F238E27FC236}">
              <a16:creationId xmlns:a16="http://schemas.microsoft.com/office/drawing/2014/main" id="{00000000-0008-0000-0000-000056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111" name="Text Box 695">
          <a:extLst>
            <a:ext uri="{FF2B5EF4-FFF2-40B4-BE49-F238E27FC236}">
              <a16:creationId xmlns:a16="http://schemas.microsoft.com/office/drawing/2014/main" id="{00000000-0008-0000-0000-000057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112" name="Text Box 696">
          <a:extLst>
            <a:ext uri="{FF2B5EF4-FFF2-40B4-BE49-F238E27FC236}">
              <a16:creationId xmlns:a16="http://schemas.microsoft.com/office/drawing/2014/main" id="{00000000-0008-0000-0000-000058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113" name="Text Box 697">
          <a:extLst>
            <a:ext uri="{FF2B5EF4-FFF2-40B4-BE49-F238E27FC236}">
              <a16:creationId xmlns:a16="http://schemas.microsoft.com/office/drawing/2014/main" id="{00000000-0008-0000-0000-000059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114" name="Text Box 698">
          <a:extLst>
            <a:ext uri="{FF2B5EF4-FFF2-40B4-BE49-F238E27FC236}">
              <a16:creationId xmlns:a16="http://schemas.microsoft.com/office/drawing/2014/main" id="{00000000-0008-0000-0000-00005A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115" name="Text Box 699">
          <a:extLst>
            <a:ext uri="{FF2B5EF4-FFF2-40B4-BE49-F238E27FC236}">
              <a16:creationId xmlns:a16="http://schemas.microsoft.com/office/drawing/2014/main" id="{00000000-0008-0000-0000-00005B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116" name="Text Box 700">
          <a:extLst>
            <a:ext uri="{FF2B5EF4-FFF2-40B4-BE49-F238E27FC236}">
              <a16:creationId xmlns:a16="http://schemas.microsoft.com/office/drawing/2014/main" id="{00000000-0008-0000-0000-00005C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117" name="Text Box 701">
          <a:extLst>
            <a:ext uri="{FF2B5EF4-FFF2-40B4-BE49-F238E27FC236}">
              <a16:creationId xmlns:a16="http://schemas.microsoft.com/office/drawing/2014/main" id="{00000000-0008-0000-0000-00005D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118" name="Text Box 702">
          <a:extLst>
            <a:ext uri="{FF2B5EF4-FFF2-40B4-BE49-F238E27FC236}">
              <a16:creationId xmlns:a16="http://schemas.microsoft.com/office/drawing/2014/main" id="{00000000-0008-0000-0000-00005E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119" name="Text Box 703">
          <a:extLst>
            <a:ext uri="{FF2B5EF4-FFF2-40B4-BE49-F238E27FC236}">
              <a16:creationId xmlns:a16="http://schemas.microsoft.com/office/drawing/2014/main" id="{00000000-0008-0000-0000-00005F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120" name="Text Box 704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121" name="Text Box 705">
          <a:extLst>
            <a:ext uri="{FF2B5EF4-FFF2-40B4-BE49-F238E27FC236}">
              <a16:creationId xmlns:a16="http://schemas.microsoft.com/office/drawing/2014/main" id="{00000000-0008-0000-0000-000061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122" name="Text Box 706">
          <a:extLst>
            <a:ext uri="{FF2B5EF4-FFF2-40B4-BE49-F238E27FC236}">
              <a16:creationId xmlns:a16="http://schemas.microsoft.com/office/drawing/2014/main" id="{00000000-0008-0000-0000-000062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123" name="Text Box 707">
          <a:extLst>
            <a:ext uri="{FF2B5EF4-FFF2-40B4-BE49-F238E27FC236}">
              <a16:creationId xmlns:a16="http://schemas.microsoft.com/office/drawing/2014/main" id="{00000000-0008-0000-0000-000063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124" name="Text Box 708">
          <a:extLst>
            <a:ext uri="{FF2B5EF4-FFF2-40B4-BE49-F238E27FC236}">
              <a16:creationId xmlns:a16="http://schemas.microsoft.com/office/drawing/2014/main" id="{00000000-0008-0000-0000-000064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125" name="Text Box 709">
          <a:extLst>
            <a:ext uri="{FF2B5EF4-FFF2-40B4-BE49-F238E27FC236}">
              <a16:creationId xmlns:a16="http://schemas.microsoft.com/office/drawing/2014/main" id="{00000000-0008-0000-0000-000065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126" name="Text Box 710">
          <a:extLst>
            <a:ext uri="{FF2B5EF4-FFF2-40B4-BE49-F238E27FC236}">
              <a16:creationId xmlns:a16="http://schemas.microsoft.com/office/drawing/2014/main" id="{00000000-0008-0000-0000-000066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127" name="Text Box 711">
          <a:extLst>
            <a:ext uri="{FF2B5EF4-FFF2-40B4-BE49-F238E27FC236}">
              <a16:creationId xmlns:a16="http://schemas.microsoft.com/office/drawing/2014/main" id="{00000000-0008-0000-0000-000067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128" name="Text Box 712">
          <a:extLst>
            <a:ext uri="{FF2B5EF4-FFF2-40B4-BE49-F238E27FC236}">
              <a16:creationId xmlns:a16="http://schemas.microsoft.com/office/drawing/2014/main" id="{00000000-0008-0000-0000-000068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129" name="Text Box 713">
          <a:extLst>
            <a:ext uri="{FF2B5EF4-FFF2-40B4-BE49-F238E27FC236}">
              <a16:creationId xmlns:a16="http://schemas.microsoft.com/office/drawing/2014/main" id="{00000000-0008-0000-0000-000069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130" name="Text Box 714">
          <a:extLst>
            <a:ext uri="{FF2B5EF4-FFF2-40B4-BE49-F238E27FC236}">
              <a16:creationId xmlns:a16="http://schemas.microsoft.com/office/drawing/2014/main" id="{00000000-0008-0000-0000-00006A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131" name="Text Box 715">
          <a:extLst>
            <a:ext uri="{FF2B5EF4-FFF2-40B4-BE49-F238E27FC236}">
              <a16:creationId xmlns:a16="http://schemas.microsoft.com/office/drawing/2014/main" id="{00000000-0008-0000-0000-00006B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132" name="Text Box 716">
          <a:extLst>
            <a:ext uri="{FF2B5EF4-FFF2-40B4-BE49-F238E27FC236}">
              <a16:creationId xmlns:a16="http://schemas.microsoft.com/office/drawing/2014/main" id="{00000000-0008-0000-0000-00006C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133" name="Text Box 717">
          <a:extLst>
            <a:ext uri="{FF2B5EF4-FFF2-40B4-BE49-F238E27FC236}">
              <a16:creationId xmlns:a16="http://schemas.microsoft.com/office/drawing/2014/main" id="{00000000-0008-0000-0000-00006D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134" name="Text Box 718">
          <a:extLst>
            <a:ext uri="{FF2B5EF4-FFF2-40B4-BE49-F238E27FC236}">
              <a16:creationId xmlns:a16="http://schemas.microsoft.com/office/drawing/2014/main" id="{00000000-0008-0000-0000-00006E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135" name="Text Box 719">
          <a:extLst>
            <a:ext uri="{FF2B5EF4-FFF2-40B4-BE49-F238E27FC236}">
              <a16:creationId xmlns:a16="http://schemas.microsoft.com/office/drawing/2014/main" id="{00000000-0008-0000-0000-00006F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136" name="Text Box 720">
          <a:extLst>
            <a:ext uri="{FF2B5EF4-FFF2-40B4-BE49-F238E27FC236}">
              <a16:creationId xmlns:a16="http://schemas.microsoft.com/office/drawing/2014/main" id="{00000000-0008-0000-0000-000070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137" name="Text Box 721">
          <a:extLst>
            <a:ext uri="{FF2B5EF4-FFF2-40B4-BE49-F238E27FC236}">
              <a16:creationId xmlns:a16="http://schemas.microsoft.com/office/drawing/2014/main" id="{00000000-0008-0000-0000-000071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138" name="Text Box 722">
          <a:extLst>
            <a:ext uri="{FF2B5EF4-FFF2-40B4-BE49-F238E27FC236}">
              <a16:creationId xmlns:a16="http://schemas.microsoft.com/office/drawing/2014/main" id="{00000000-0008-0000-0000-000072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139" name="Text Box 723">
          <a:extLst>
            <a:ext uri="{FF2B5EF4-FFF2-40B4-BE49-F238E27FC236}">
              <a16:creationId xmlns:a16="http://schemas.microsoft.com/office/drawing/2014/main" id="{00000000-0008-0000-0000-000073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140" name="Text Box 724">
          <a:extLst>
            <a:ext uri="{FF2B5EF4-FFF2-40B4-BE49-F238E27FC236}">
              <a16:creationId xmlns:a16="http://schemas.microsoft.com/office/drawing/2014/main" id="{00000000-0008-0000-0000-000074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141" name="Text Box 725">
          <a:extLst>
            <a:ext uri="{FF2B5EF4-FFF2-40B4-BE49-F238E27FC236}">
              <a16:creationId xmlns:a16="http://schemas.microsoft.com/office/drawing/2014/main" id="{00000000-0008-0000-0000-000075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142" name="Text Box 726">
          <a:extLst>
            <a:ext uri="{FF2B5EF4-FFF2-40B4-BE49-F238E27FC236}">
              <a16:creationId xmlns:a16="http://schemas.microsoft.com/office/drawing/2014/main" id="{00000000-0008-0000-0000-000076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143" name="Text Box 727">
          <a:extLst>
            <a:ext uri="{FF2B5EF4-FFF2-40B4-BE49-F238E27FC236}">
              <a16:creationId xmlns:a16="http://schemas.microsoft.com/office/drawing/2014/main" id="{00000000-0008-0000-0000-000077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144" name="Text Box 728">
          <a:extLst>
            <a:ext uri="{FF2B5EF4-FFF2-40B4-BE49-F238E27FC236}">
              <a16:creationId xmlns:a16="http://schemas.microsoft.com/office/drawing/2014/main" id="{00000000-0008-0000-0000-000078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145" name="Text Box 729">
          <a:extLst>
            <a:ext uri="{FF2B5EF4-FFF2-40B4-BE49-F238E27FC236}">
              <a16:creationId xmlns:a16="http://schemas.microsoft.com/office/drawing/2014/main" id="{00000000-0008-0000-0000-000079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146" name="Text Box 730">
          <a:extLst>
            <a:ext uri="{FF2B5EF4-FFF2-40B4-BE49-F238E27FC236}">
              <a16:creationId xmlns:a16="http://schemas.microsoft.com/office/drawing/2014/main" id="{00000000-0008-0000-0000-00007A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147" name="Text Box 731">
          <a:extLst>
            <a:ext uri="{FF2B5EF4-FFF2-40B4-BE49-F238E27FC236}">
              <a16:creationId xmlns:a16="http://schemas.microsoft.com/office/drawing/2014/main" id="{00000000-0008-0000-0000-00007B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148" name="Text Box 732">
          <a:extLs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149" name="Text Box 733">
          <a:extLst>
            <a:ext uri="{FF2B5EF4-FFF2-40B4-BE49-F238E27FC236}">
              <a16:creationId xmlns:a16="http://schemas.microsoft.com/office/drawing/2014/main" id="{00000000-0008-0000-0000-00007D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150" name="Text Box 734">
          <a:extLs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151" name="Text Box 735"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152" name="Text Box 736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153" name="Text Box 737">
          <a:extLst>
            <a:ext uri="{FF2B5EF4-FFF2-40B4-BE49-F238E27FC236}">
              <a16:creationId xmlns:a16="http://schemas.microsoft.com/office/drawing/2014/main" id="{00000000-0008-0000-0000-000081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154" name="Text Box 738">
          <a:extLst>
            <a:ext uri="{FF2B5EF4-FFF2-40B4-BE49-F238E27FC236}">
              <a16:creationId xmlns:a16="http://schemas.microsoft.com/office/drawing/2014/main" id="{00000000-0008-0000-0000-000082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155" name="Text Box 739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156" name="Text Box 740">
          <a:extLst>
            <a:ext uri="{FF2B5EF4-FFF2-40B4-BE49-F238E27FC236}">
              <a16:creationId xmlns:a16="http://schemas.microsoft.com/office/drawing/2014/main" id="{00000000-0008-0000-0000-000084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157" name="Text Box 741">
          <a:extLs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158" name="Text Box 742">
          <a:extLst>
            <a:ext uri="{FF2B5EF4-FFF2-40B4-BE49-F238E27FC236}">
              <a16:creationId xmlns:a16="http://schemas.microsoft.com/office/drawing/2014/main" id="{00000000-0008-0000-0000-000086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159" name="Text Box 743">
          <a:extLst>
            <a:ext uri="{FF2B5EF4-FFF2-40B4-BE49-F238E27FC236}">
              <a16:creationId xmlns:a16="http://schemas.microsoft.com/office/drawing/2014/main" id="{00000000-0008-0000-0000-000087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160" name="Text Box 744">
          <a:extLst>
            <a:ext uri="{FF2B5EF4-FFF2-40B4-BE49-F238E27FC236}">
              <a16:creationId xmlns:a16="http://schemas.microsoft.com/office/drawing/2014/main" id="{00000000-0008-0000-0000-000088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161" name="Text Box 745">
          <a:extLst>
            <a:ext uri="{FF2B5EF4-FFF2-40B4-BE49-F238E27FC236}">
              <a16:creationId xmlns:a16="http://schemas.microsoft.com/office/drawing/2014/main" id="{00000000-0008-0000-0000-000089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162" name="Text Box 746">
          <a:extLst>
            <a:ext uri="{FF2B5EF4-FFF2-40B4-BE49-F238E27FC236}">
              <a16:creationId xmlns:a16="http://schemas.microsoft.com/office/drawing/2014/main" id="{00000000-0008-0000-0000-00008A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163" name="Text Box 747">
          <a:extLst>
            <a:ext uri="{FF2B5EF4-FFF2-40B4-BE49-F238E27FC236}">
              <a16:creationId xmlns:a16="http://schemas.microsoft.com/office/drawing/2014/main" id="{00000000-0008-0000-0000-00008B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164" name="Text Box 748">
          <a:extLst>
            <a:ext uri="{FF2B5EF4-FFF2-40B4-BE49-F238E27FC236}">
              <a16:creationId xmlns:a16="http://schemas.microsoft.com/office/drawing/2014/main" id="{00000000-0008-0000-0000-00008C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165" name="Text Box 749">
          <a:extLst>
            <a:ext uri="{FF2B5EF4-FFF2-40B4-BE49-F238E27FC236}">
              <a16:creationId xmlns:a16="http://schemas.microsoft.com/office/drawing/2014/main" id="{00000000-0008-0000-0000-00008D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166" name="Text Box 750">
          <a:extLst>
            <a:ext uri="{FF2B5EF4-FFF2-40B4-BE49-F238E27FC236}">
              <a16:creationId xmlns:a16="http://schemas.microsoft.com/office/drawing/2014/main" id="{00000000-0008-0000-0000-00008E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167" name="Text Box 751">
          <a:extLst>
            <a:ext uri="{FF2B5EF4-FFF2-40B4-BE49-F238E27FC236}">
              <a16:creationId xmlns:a16="http://schemas.microsoft.com/office/drawing/2014/main" id="{00000000-0008-0000-0000-00008F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168" name="Text Box 752">
          <a:extLst>
            <a:ext uri="{FF2B5EF4-FFF2-40B4-BE49-F238E27FC236}">
              <a16:creationId xmlns:a16="http://schemas.microsoft.com/office/drawing/2014/main" id="{00000000-0008-0000-0000-000090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169" name="Text Box 753">
          <a:extLst>
            <a:ext uri="{FF2B5EF4-FFF2-40B4-BE49-F238E27FC236}">
              <a16:creationId xmlns:a16="http://schemas.microsoft.com/office/drawing/2014/main" id="{00000000-0008-0000-0000-000091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170" name="Text Box 754">
          <a:extLst>
            <a:ext uri="{FF2B5EF4-FFF2-40B4-BE49-F238E27FC236}">
              <a16:creationId xmlns:a16="http://schemas.microsoft.com/office/drawing/2014/main" id="{00000000-0008-0000-0000-000092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171" name="Text Box 755">
          <a:extLst>
            <a:ext uri="{FF2B5EF4-FFF2-40B4-BE49-F238E27FC236}">
              <a16:creationId xmlns:a16="http://schemas.microsoft.com/office/drawing/2014/main" id="{00000000-0008-0000-0000-000093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172" name="Text Box 756">
          <a:extLst>
            <a:ext uri="{FF2B5EF4-FFF2-40B4-BE49-F238E27FC236}">
              <a16:creationId xmlns:a16="http://schemas.microsoft.com/office/drawing/2014/main" id="{00000000-0008-0000-0000-000094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173" name="Text Box 757">
          <a:extLst>
            <a:ext uri="{FF2B5EF4-FFF2-40B4-BE49-F238E27FC236}">
              <a16:creationId xmlns:a16="http://schemas.microsoft.com/office/drawing/2014/main" id="{00000000-0008-0000-0000-000095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174" name="Text Box 758">
          <a:extLst>
            <a:ext uri="{FF2B5EF4-FFF2-40B4-BE49-F238E27FC236}">
              <a16:creationId xmlns:a16="http://schemas.microsoft.com/office/drawing/2014/main" id="{00000000-0008-0000-0000-000096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175" name="Text Box 759">
          <a:extLst>
            <a:ext uri="{FF2B5EF4-FFF2-40B4-BE49-F238E27FC236}">
              <a16:creationId xmlns:a16="http://schemas.microsoft.com/office/drawing/2014/main" id="{00000000-0008-0000-0000-000097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176" name="Text Box 760">
          <a:extLst>
            <a:ext uri="{FF2B5EF4-FFF2-40B4-BE49-F238E27FC236}">
              <a16:creationId xmlns:a16="http://schemas.microsoft.com/office/drawing/2014/main" id="{00000000-0008-0000-0000-000098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177" name="Text Box 761">
          <a:extLst>
            <a:ext uri="{FF2B5EF4-FFF2-40B4-BE49-F238E27FC236}">
              <a16:creationId xmlns:a16="http://schemas.microsoft.com/office/drawing/2014/main" id="{00000000-0008-0000-0000-000099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178" name="Text Box 762">
          <a:extLst>
            <a:ext uri="{FF2B5EF4-FFF2-40B4-BE49-F238E27FC236}">
              <a16:creationId xmlns:a16="http://schemas.microsoft.com/office/drawing/2014/main" id="{00000000-0008-0000-0000-00009A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179" name="Text Box 763">
          <a:extLst>
            <a:ext uri="{FF2B5EF4-FFF2-40B4-BE49-F238E27FC236}">
              <a16:creationId xmlns:a16="http://schemas.microsoft.com/office/drawing/2014/main" id="{00000000-0008-0000-0000-00009B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180" name="Text Box 764">
          <a:extLst>
            <a:ext uri="{FF2B5EF4-FFF2-40B4-BE49-F238E27FC236}">
              <a16:creationId xmlns:a16="http://schemas.microsoft.com/office/drawing/2014/main" id="{00000000-0008-0000-0000-00009C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181" name="Text Box 765">
          <a:extLst>
            <a:ext uri="{FF2B5EF4-FFF2-40B4-BE49-F238E27FC236}">
              <a16:creationId xmlns:a16="http://schemas.microsoft.com/office/drawing/2014/main" id="{00000000-0008-0000-0000-00009D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182" name="Text Box 766">
          <a:extLst>
            <a:ext uri="{FF2B5EF4-FFF2-40B4-BE49-F238E27FC236}">
              <a16:creationId xmlns:a16="http://schemas.microsoft.com/office/drawing/2014/main" id="{00000000-0008-0000-0000-00009E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183" name="Text Box 767">
          <a:extLst>
            <a:ext uri="{FF2B5EF4-FFF2-40B4-BE49-F238E27FC236}">
              <a16:creationId xmlns:a16="http://schemas.microsoft.com/office/drawing/2014/main" id="{00000000-0008-0000-0000-00009F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184" name="Text Box 768">
          <a:extLst>
            <a:ext uri="{FF2B5EF4-FFF2-40B4-BE49-F238E27FC236}">
              <a16:creationId xmlns:a16="http://schemas.microsoft.com/office/drawing/2014/main" id="{00000000-0008-0000-0000-0000A0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185" name="Text Box 769">
          <a:extLst>
            <a:ext uri="{FF2B5EF4-FFF2-40B4-BE49-F238E27FC236}">
              <a16:creationId xmlns:a16="http://schemas.microsoft.com/office/drawing/2014/main" id="{00000000-0008-0000-0000-0000A1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186" name="Text Box 770">
          <a:extLst>
            <a:ext uri="{FF2B5EF4-FFF2-40B4-BE49-F238E27FC236}">
              <a16:creationId xmlns:a16="http://schemas.microsoft.com/office/drawing/2014/main" id="{00000000-0008-0000-0000-0000A2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187" name="Text Box 771">
          <a:extLst>
            <a:ext uri="{FF2B5EF4-FFF2-40B4-BE49-F238E27FC236}">
              <a16:creationId xmlns:a16="http://schemas.microsoft.com/office/drawing/2014/main" id="{00000000-0008-0000-0000-0000A3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188" name="Text Box 772">
          <a:extLst>
            <a:ext uri="{FF2B5EF4-FFF2-40B4-BE49-F238E27FC236}">
              <a16:creationId xmlns:a16="http://schemas.microsoft.com/office/drawing/2014/main" id="{00000000-0008-0000-0000-0000A4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189" name="Text Box 773">
          <a:extLst>
            <a:ext uri="{FF2B5EF4-FFF2-40B4-BE49-F238E27FC236}">
              <a16:creationId xmlns:a16="http://schemas.microsoft.com/office/drawing/2014/main" id="{00000000-0008-0000-0000-0000A5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190" name="Text Box 774">
          <a:extLst>
            <a:ext uri="{FF2B5EF4-FFF2-40B4-BE49-F238E27FC236}">
              <a16:creationId xmlns:a16="http://schemas.microsoft.com/office/drawing/2014/main" id="{00000000-0008-0000-0000-0000A6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191" name="Text Box 775">
          <a:extLst>
            <a:ext uri="{FF2B5EF4-FFF2-40B4-BE49-F238E27FC236}">
              <a16:creationId xmlns:a16="http://schemas.microsoft.com/office/drawing/2014/main" id="{00000000-0008-0000-0000-0000A7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192" name="Text Box 776">
          <a:extLst>
            <a:ext uri="{FF2B5EF4-FFF2-40B4-BE49-F238E27FC236}">
              <a16:creationId xmlns:a16="http://schemas.microsoft.com/office/drawing/2014/main" id="{00000000-0008-0000-0000-0000A8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193" name="Text Box 777">
          <a:extLst>
            <a:ext uri="{FF2B5EF4-FFF2-40B4-BE49-F238E27FC236}">
              <a16:creationId xmlns:a16="http://schemas.microsoft.com/office/drawing/2014/main" id="{00000000-0008-0000-0000-0000A9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194" name="Text Box 693">
          <a:extLst>
            <a:ext uri="{FF2B5EF4-FFF2-40B4-BE49-F238E27FC236}">
              <a16:creationId xmlns:a16="http://schemas.microsoft.com/office/drawing/2014/main" id="{00000000-0008-0000-0000-0000AA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195" name="Text Box 694">
          <a:extLst>
            <a:ext uri="{FF2B5EF4-FFF2-40B4-BE49-F238E27FC236}">
              <a16:creationId xmlns:a16="http://schemas.microsoft.com/office/drawing/2014/main" id="{00000000-0008-0000-0000-0000AB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196" name="Text Box 695">
          <a:extLst>
            <a:ext uri="{FF2B5EF4-FFF2-40B4-BE49-F238E27FC236}">
              <a16:creationId xmlns:a16="http://schemas.microsoft.com/office/drawing/2014/main" id="{00000000-0008-0000-0000-0000AC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197" name="Text Box 696">
          <a:extLst>
            <a:ext uri="{FF2B5EF4-FFF2-40B4-BE49-F238E27FC236}">
              <a16:creationId xmlns:a16="http://schemas.microsoft.com/office/drawing/2014/main" id="{00000000-0008-0000-0000-0000AD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198" name="Text Box 697">
          <a:extLst>
            <a:ext uri="{FF2B5EF4-FFF2-40B4-BE49-F238E27FC236}">
              <a16:creationId xmlns:a16="http://schemas.microsoft.com/office/drawing/2014/main" id="{00000000-0008-0000-0000-0000AE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199" name="Text Box 698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200" name="Text Box 699">
          <a:extLst>
            <a:ext uri="{FF2B5EF4-FFF2-40B4-BE49-F238E27FC236}">
              <a16:creationId xmlns:a16="http://schemas.microsoft.com/office/drawing/2014/main" id="{00000000-0008-0000-0000-0000B0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201" name="Text Box 700">
          <a:extLst>
            <a:ext uri="{FF2B5EF4-FFF2-40B4-BE49-F238E27FC236}">
              <a16:creationId xmlns:a16="http://schemas.microsoft.com/office/drawing/2014/main" id="{00000000-0008-0000-0000-0000B1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202" name="Text Box 701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203" name="Text Box 702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204" name="Text Box 703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205" name="Text Box 704">
          <a:extLst>
            <a:ext uri="{FF2B5EF4-FFF2-40B4-BE49-F238E27FC236}">
              <a16:creationId xmlns:a16="http://schemas.microsoft.com/office/drawing/2014/main" id="{00000000-0008-0000-0000-0000B5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206" name="Text Box 705">
          <a:extLst>
            <a:ext uri="{FF2B5EF4-FFF2-40B4-BE49-F238E27FC236}">
              <a16:creationId xmlns:a16="http://schemas.microsoft.com/office/drawing/2014/main" id="{00000000-0008-0000-0000-0000B6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207" name="Text Box 706">
          <a:extLst>
            <a:ext uri="{FF2B5EF4-FFF2-40B4-BE49-F238E27FC236}">
              <a16:creationId xmlns:a16="http://schemas.microsoft.com/office/drawing/2014/main" id="{00000000-0008-0000-0000-0000B7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208" name="Text Box 707">
          <a:extLst>
            <a:ext uri="{FF2B5EF4-FFF2-40B4-BE49-F238E27FC236}">
              <a16:creationId xmlns:a16="http://schemas.microsoft.com/office/drawing/2014/main" id="{00000000-0008-0000-0000-0000B8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209" name="Text Box 708">
          <a:extLst>
            <a:ext uri="{FF2B5EF4-FFF2-40B4-BE49-F238E27FC236}">
              <a16:creationId xmlns:a16="http://schemas.microsoft.com/office/drawing/2014/main" id="{00000000-0008-0000-0000-0000B9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210" name="Text Box 709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211" name="Text Box 710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212" name="Text Box 711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213" name="Text Box 712">
          <a:extLst>
            <a:ext uri="{FF2B5EF4-FFF2-40B4-BE49-F238E27FC236}">
              <a16:creationId xmlns:a16="http://schemas.microsoft.com/office/drawing/2014/main" id="{00000000-0008-0000-0000-0000BD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214" name="Text Box 713">
          <a:extLst>
            <a:ext uri="{FF2B5EF4-FFF2-40B4-BE49-F238E27FC236}">
              <a16:creationId xmlns:a16="http://schemas.microsoft.com/office/drawing/2014/main" id="{00000000-0008-0000-0000-0000BE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215" name="Text Box 714">
          <a:extLst>
            <a:ext uri="{FF2B5EF4-FFF2-40B4-BE49-F238E27FC236}">
              <a16:creationId xmlns:a16="http://schemas.microsoft.com/office/drawing/2014/main" id="{00000000-0008-0000-0000-0000BF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216" name="Text Box 715">
          <a:extLst>
            <a:ext uri="{FF2B5EF4-FFF2-40B4-BE49-F238E27FC236}">
              <a16:creationId xmlns:a16="http://schemas.microsoft.com/office/drawing/2014/main" id="{00000000-0008-0000-0000-0000C0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217" name="Text Box 716">
          <a:extLst>
            <a:ext uri="{FF2B5EF4-FFF2-40B4-BE49-F238E27FC236}">
              <a16:creationId xmlns:a16="http://schemas.microsoft.com/office/drawing/2014/main" id="{00000000-0008-0000-0000-0000C1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218" name="Text Box 717">
          <a:extLst>
            <a:ext uri="{FF2B5EF4-FFF2-40B4-BE49-F238E27FC236}">
              <a16:creationId xmlns:a16="http://schemas.microsoft.com/office/drawing/2014/main" id="{00000000-0008-0000-0000-0000C2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219" name="Text Box 718">
          <a:extLst>
            <a:ext uri="{FF2B5EF4-FFF2-40B4-BE49-F238E27FC236}">
              <a16:creationId xmlns:a16="http://schemas.microsoft.com/office/drawing/2014/main" id="{00000000-0008-0000-0000-0000C3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220" name="Text Box 719">
          <a:extLst>
            <a:ext uri="{FF2B5EF4-FFF2-40B4-BE49-F238E27FC236}">
              <a16:creationId xmlns:a16="http://schemas.microsoft.com/office/drawing/2014/main" id="{00000000-0008-0000-0000-0000C4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221" name="Text Box 720">
          <a:extLst>
            <a:ext uri="{FF2B5EF4-FFF2-40B4-BE49-F238E27FC236}">
              <a16:creationId xmlns:a16="http://schemas.microsoft.com/office/drawing/2014/main" id="{00000000-0008-0000-0000-0000C5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222" name="Text Box 721">
          <a:extLst>
            <a:ext uri="{FF2B5EF4-FFF2-40B4-BE49-F238E27FC236}">
              <a16:creationId xmlns:a16="http://schemas.microsoft.com/office/drawing/2014/main" id="{00000000-0008-0000-0000-0000C6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223" name="Text Box 722">
          <a:extLst>
            <a:ext uri="{FF2B5EF4-FFF2-40B4-BE49-F238E27FC236}">
              <a16:creationId xmlns:a16="http://schemas.microsoft.com/office/drawing/2014/main" id="{00000000-0008-0000-0000-0000C7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224" name="Text Box 723">
          <a:extLst>
            <a:ext uri="{FF2B5EF4-FFF2-40B4-BE49-F238E27FC236}">
              <a16:creationId xmlns:a16="http://schemas.microsoft.com/office/drawing/2014/main" id="{00000000-0008-0000-0000-0000C8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225" name="Text Box 724">
          <a:extLst>
            <a:ext uri="{FF2B5EF4-FFF2-40B4-BE49-F238E27FC236}">
              <a16:creationId xmlns:a16="http://schemas.microsoft.com/office/drawing/2014/main" id="{00000000-0008-0000-0000-0000C9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226" name="Text Box 725">
          <a:extLst>
            <a:ext uri="{FF2B5EF4-FFF2-40B4-BE49-F238E27FC236}">
              <a16:creationId xmlns:a16="http://schemas.microsoft.com/office/drawing/2014/main" id="{00000000-0008-0000-0000-0000CA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227" name="Text Box 726">
          <a:extLst>
            <a:ext uri="{FF2B5EF4-FFF2-40B4-BE49-F238E27FC236}">
              <a16:creationId xmlns:a16="http://schemas.microsoft.com/office/drawing/2014/main" id="{00000000-0008-0000-0000-0000CB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228" name="Text Box 727">
          <a:extLst>
            <a:ext uri="{FF2B5EF4-FFF2-40B4-BE49-F238E27FC236}">
              <a16:creationId xmlns:a16="http://schemas.microsoft.com/office/drawing/2014/main" id="{00000000-0008-0000-0000-0000CC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229" name="Text Box 728">
          <a:extLst>
            <a:ext uri="{FF2B5EF4-FFF2-40B4-BE49-F238E27FC236}">
              <a16:creationId xmlns:a16="http://schemas.microsoft.com/office/drawing/2014/main" id="{00000000-0008-0000-0000-0000CD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230" name="Text Box 729">
          <a:extLst>
            <a:ext uri="{FF2B5EF4-FFF2-40B4-BE49-F238E27FC236}">
              <a16:creationId xmlns:a16="http://schemas.microsoft.com/office/drawing/2014/main" id="{00000000-0008-0000-0000-0000CE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231" name="Text Box 730">
          <a:extLst>
            <a:ext uri="{FF2B5EF4-FFF2-40B4-BE49-F238E27FC236}">
              <a16:creationId xmlns:a16="http://schemas.microsoft.com/office/drawing/2014/main" id="{00000000-0008-0000-0000-0000CF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232" name="Text Box 731">
          <a:extLst>
            <a:ext uri="{FF2B5EF4-FFF2-40B4-BE49-F238E27FC236}">
              <a16:creationId xmlns:a16="http://schemas.microsoft.com/office/drawing/2014/main" id="{00000000-0008-0000-0000-0000D0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233" name="Text Box 732">
          <a:extLst>
            <a:ext uri="{FF2B5EF4-FFF2-40B4-BE49-F238E27FC236}">
              <a16:creationId xmlns:a16="http://schemas.microsoft.com/office/drawing/2014/main" id="{00000000-0008-0000-0000-0000D1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234" name="Text Box 733">
          <a:extLst>
            <a:ext uri="{FF2B5EF4-FFF2-40B4-BE49-F238E27FC236}">
              <a16:creationId xmlns:a16="http://schemas.microsoft.com/office/drawing/2014/main" id="{00000000-0008-0000-0000-0000D2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235" name="Text Box 734">
          <a:extLst>
            <a:ext uri="{FF2B5EF4-FFF2-40B4-BE49-F238E27FC236}">
              <a16:creationId xmlns:a16="http://schemas.microsoft.com/office/drawing/2014/main" id="{00000000-0008-0000-0000-0000D3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236" name="Text Box 735">
          <a:extLst>
            <a:ext uri="{FF2B5EF4-FFF2-40B4-BE49-F238E27FC236}">
              <a16:creationId xmlns:a16="http://schemas.microsoft.com/office/drawing/2014/main" id="{00000000-0008-0000-0000-0000D4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237" name="Text Box 736">
          <a:extLst>
            <a:ext uri="{FF2B5EF4-FFF2-40B4-BE49-F238E27FC236}">
              <a16:creationId xmlns:a16="http://schemas.microsoft.com/office/drawing/2014/main" id="{00000000-0008-0000-0000-0000D5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238" name="Text Box 737">
          <a:extLst>
            <a:ext uri="{FF2B5EF4-FFF2-40B4-BE49-F238E27FC236}">
              <a16:creationId xmlns:a16="http://schemas.microsoft.com/office/drawing/2014/main" id="{00000000-0008-0000-0000-0000D6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239" name="Text Box 738">
          <a:extLst>
            <a:ext uri="{FF2B5EF4-FFF2-40B4-BE49-F238E27FC236}">
              <a16:creationId xmlns:a16="http://schemas.microsoft.com/office/drawing/2014/main" id="{00000000-0008-0000-0000-0000D7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240" name="Text Box 739">
          <a:extLst>
            <a:ext uri="{FF2B5EF4-FFF2-40B4-BE49-F238E27FC236}">
              <a16:creationId xmlns:a16="http://schemas.microsoft.com/office/drawing/2014/main" id="{00000000-0008-0000-0000-0000D8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241" name="Text Box 740">
          <a:extLst>
            <a:ext uri="{FF2B5EF4-FFF2-40B4-BE49-F238E27FC236}">
              <a16:creationId xmlns:a16="http://schemas.microsoft.com/office/drawing/2014/main" id="{00000000-0008-0000-0000-0000D9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242" name="Text Box 741">
          <a:extLst>
            <a:ext uri="{FF2B5EF4-FFF2-40B4-BE49-F238E27FC236}">
              <a16:creationId xmlns:a16="http://schemas.microsoft.com/office/drawing/2014/main" id="{00000000-0008-0000-0000-0000DA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243" name="Text Box 742">
          <a:extLst>
            <a:ext uri="{FF2B5EF4-FFF2-40B4-BE49-F238E27FC236}">
              <a16:creationId xmlns:a16="http://schemas.microsoft.com/office/drawing/2014/main" id="{00000000-0008-0000-0000-0000DB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244" name="Text Box 743">
          <a:extLst>
            <a:ext uri="{FF2B5EF4-FFF2-40B4-BE49-F238E27FC236}">
              <a16:creationId xmlns:a16="http://schemas.microsoft.com/office/drawing/2014/main" id="{00000000-0008-0000-0000-0000DC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245" name="Text Box 744">
          <a:extLst>
            <a:ext uri="{FF2B5EF4-FFF2-40B4-BE49-F238E27FC236}">
              <a16:creationId xmlns:a16="http://schemas.microsoft.com/office/drawing/2014/main" id="{00000000-0008-0000-0000-0000DD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246" name="Text Box 745">
          <a:extLst>
            <a:ext uri="{FF2B5EF4-FFF2-40B4-BE49-F238E27FC236}">
              <a16:creationId xmlns:a16="http://schemas.microsoft.com/office/drawing/2014/main" id="{00000000-0008-0000-0000-0000DE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247" name="Text Box 746">
          <a:extLst>
            <a:ext uri="{FF2B5EF4-FFF2-40B4-BE49-F238E27FC236}">
              <a16:creationId xmlns:a16="http://schemas.microsoft.com/office/drawing/2014/main" id="{00000000-0008-0000-0000-0000DF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248" name="Text Box 747">
          <a:extLst>
            <a:ext uri="{FF2B5EF4-FFF2-40B4-BE49-F238E27FC236}">
              <a16:creationId xmlns:a16="http://schemas.microsoft.com/office/drawing/2014/main" id="{00000000-0008-0000-0000-0000E0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249" name="Text Box 748">
          <a:extLst>
            <a:ext uri="{FF2B5EF4-FFF2-40B4-BE49-F238E27FC236}">
              <a16:creationId xmlns:a16="http://schemas.microsoft.com/office/drawing/2014/main" id="{00000000-0008-0000-0000-0000E1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250" name="Text Box 749">
          <a:extLst>
            <a:ext uri="{FF2B5EF4-FFF2-40B4-BE49-F238E27FC236}">
              <a16:creationId xmlns:a16="http://schemas.microsoft.com/office/drawing/2014/main" id="{00000000-0008-0000-0000-0000E2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251" name="Text Box 750">
          <a:extLst>
            <a:ext uri="{FF2B5EF4-FFF2-40B4-BE49-F238E27FC236}">
              <a16:creationId xmlns:a16="http://schemas.microsoft.com/office/drawing/2014/main" id="{00000000-0008-0000-0000-0000E3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252" name="Text Box 751">
          <a:extLst>
            <a:ext uri="{FF2B5EF4-FFF2-40B4-BE49-F238E27FC236}">
              <a16:creationId xmlns:a16="http://schemas.microsoft.com/office/drawing/2014/main" id="{00000000-0008-0000-0000-0000E4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253" name="Text Box 752">
          <a:extLst>
            <a:ext uri="{FF2B5EF4-FFF2-40B4-BE49-F238E27FC236}">
              <a16:creationId xmlns:a16="http://schemas.microsoft.com/office/drawing/2014/main" id="{00000000-0008-0000-0000-0000E5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254" name="Text Box 753">
          <a:extLst>
            <a:ext uri="{FF2B5EF4-FFF2-40B4-BE49-F238E27FC236}">
              <a16:creationId xmlns:a16="http://schemas.microsoft.com/office/drawing/2014/main" id="{00000000-0008-0000-0000-0000E6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255" name="Text Box 754">
          <a:extLst>
            <a:ext uri="{FF2B5EF4-FFF2-40B4-BE49-F238E27FC236}">
              <a16:creationId xmlns:a16="http://schemas.microsoft.com/office/drawing/2014/main" id="{00000000-0008-0000-0000-0000E7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256" name="Text Box 755">
          <a:extLst>
            <a:ext uri="{FF2B5EF4-FFF2-40B4-BE49-F238E27FC236}">
              <a16:creationId xmlns:a16="http://schemas.microsoft.com/office/drawing/2014/main" id="{00000000-0008-0000-0000-0000E8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257" name="Text Box 756">
          <a:extLst>
            <a:ext uri="{FF2B5EF4-FFF2-40B4-BE49-F238E27FC236}">
              <a16:creationId xmlns:a16="http://schemas.microsoft.com/office/drawing/2014/main" id="{00000000-0008-0000-0000-0000E9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258" name="Text Box 757">
          <a:extLst>
            <a:ext uri="{FF2B5EF4-FFF2-40B4-BE49-F238E27FC236}">
              <a16:creationId xmlns:a16="http://schemas.microsoft.com/office/drawing/2014/main" id="{00000000-0008-0000-0000-0000EA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259" name="Text Box 758">
          <a:extLst>
            <a:ext uri="{FF2B5EF4-FFF2-40B4-BE49-F238E27FC236}">
              <a16:creationId xmlns:a16="http://schemas.microsoft.com/office/drawing/2014/main" id="{00000000-0008-0000-0000-0000EB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260" name="Text Box 759">
          <a:extLst>
            <a:ext uri="{FF2B5EF4-FFF2-40B4-BE49-F238E27FC236}">
              <a16:creationId xmlns:a16="http://schemas.microsoft.com/office/drawing/2014/main" id="{00000000-0008-0000-0000-0000EC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261" name="Text Box 760">
          <a:extLst>
            <a:ext uri="{FF2B5EF4-FFF2-40B4-BE49-F238E27FC236}">
              <a16:creationId xmlns:a16="http://schemas.microsoft.com/office/drawing/2014/main" id="{00000000-0008-0000-0000-0000ED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262" name="Text Box 761">
          <a:extLst>
            <a:ext uri="{FF2B5EF4-FFF2-40B4-BE49-F238E27FC236}">
              <a16:creationId xmlns:a16="http://schemas.microsoft.com/office/drawing/2014/main" id="{00000000-0008-0000-0000-0000EE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263" name="Text Box 762">
          <a:extLst>
            <a:ext uri="{FF2B5EF4-FFF2-40B4-BE49-F238E27FC236}">
              <a16:creationId xmlns:a16="http://schemas.microsoft.com/office/drawing/2014/main" id="{00000000-0008-0000-0000-0000EF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264" name="Text Box 763">
          <a:extLst>
            <a:ext uri="{FF2B5EF4-FFF2-40B4-BE49-F238E27FC236}">
              <a16:creationId xmlns:a16="http://schemas.microsoft.com/office/drawing/2014/main" id="{00000000-0008-0000-0000-0000F0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265" name="Text Box 764">
          <a:extLst>
            <a:ext uri="{FF2B5EF4-FFF2-40B4-BE49-F238E27FC236}">
              <a16:creationId xmlns:a16="http://schemas.microsoft.com/office/drawing/2014/main" id="{00000000-0008-0000-0000-0000F1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266" name="Text Box 765">
          <a:extLst>
            <a:ext uri="{FF2B5EF4-FFF2-40B4-BE49-F238E27FC236}">
              <a16:creationId xmlns:a16="http://schemas.microsoft.com/office/drawing/2014/main" id="{00000000-0008-0000-0000-0000F2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267" name="Text Box 766">
          <a:extLst>
            <a:ext uri="{FF2B5EF4-FFF2-40B4-BE49-F238E27FC236}">
              <a16:creationId xmlns:a16="http://schemas.microsoft.com/office/drawing/2014/main" id="{00000000-0008-0000-0000-0000F3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268" name="Text Box 767">
          <a:extLst>
            <a:ext uri="{FF2B5EF4-FFF2-40B4-BE49-F238E27FC236}">
              <a16:creationId xmlns:a16="http://schemas.microsoft.com/office/drawing/2014/main" id="{00000000-0008-0000-0000-0000F4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269" name="Text Box 768">
          <a:extLst>
            <a:ext uri="{FF2B5EF4-FFF2-40B4-BE49-F238E27FC236}">
              <a16:creationId xmlns:a16="http://schemas.microsoft.com/office/drawing/2014/main" id="{00000000-0008-0000-0000-0000F5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270" name="Text Box 769">
          <a:extLst>
            <a:ext uri="{FF2B5EF4-FFF2-40B4-BE49-F238E27FC236}">
              <a16:creationId xmlns:a16="http://schemas.microsoft.com/office/drawing/2014/main" id="{00000000-0008-0000-0000-0000F6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271" name="Text Box 770">
          <a:extLst>
            <a:ext uri="{FF2B5EF4-FFF2-40B4-BE49-F238E27FC236}">
              <a16:creationId xmlns:a16="http://schemas.microsoft.com/office/drawing/2014/main" id="{00000000-0008-0000-0000-0000F7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272" name="Text Box 771">
          <a:extLst>
            <a:ext uri="{FF2B5EF4-FFF2-40B4-BE49-F238E27FC236}">
              <a16:creationId xmlns:a16="http://schemas.microsoft.com/office/drawing/2014/main" id="{00000000-0008-0000-0000-0000F8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273" name="Text Box 772">
          <a:extLst>
            <a:ext uri="{FF2B5EF4-FFF2-40B4-BE49-F238E27FC236}">
              <a16:creationId xmlns:a16="http://schemas.microsoft.com/office/drawing/2014/main" id="{00000000-0008-0000-0000-0000F9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274" name="Text Box 773">
          <a:extLst>
            <a:ext uri="{FF2B5EF4-FFF2-40B4-BE49-F238E27FC236}">
              <a16:creationId xmlns:a16="http://schemas.microsoft.com/office/drawing/2014/main" id="{00000000-0008-0000-0000-0000FA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275" name="Text Box 774">
          <a:extLst>
            <a:ext uri="{FF2B5EF4-FFF2-40B4-BE49-F238E27FC236}">
              <a16:creationId xmlns:a16="http://schemas.microsoft.com/office/drawing/2014/main" id="{00000000-0008-0000-0000-0000FB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276" name="Text Box 775">
          <a:extLst>
            <a:ext uri="{FF2B5EF4-FFF2-40B4-BE49-F238E27FC236}">
              <a16:creationId xmlns:a16="http://schemas.microsoft.com/office/drawing/2014/main" id="{00000000-0008-0000-0000-0000FC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277" name="Text Box 776">
          <a:extLst>
            <a:ext uri="{FF2B5EF4-FFF2-40B4-BE49-F238E27FC236}">
              <a16:creationId xmlns:a16="http://schemas.microsoft.com/office/drawing/2014/main" id="{00000000-0008-0000-0000-0000FD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1278" name="Text Box 777">
          <a:extLst>
            <a:ext uri="{FF2B5EF4-FFF2-40B4-BE49-F238E27FC236}">
              <a16:creationId xmlns:a16="http://schemas.microsoft.com/office/drawing/2014/main" id="{00000000-0008-0000-0000-0000FE040000}"/>
            </a:ext>
          </a:extLst>
        </xdr:cNvPr>
        <xdr:cNvSpPr>
          <a:spLocks noChangeArrowheads="1"/>
        </xdr:cNvSpPr>
      </xdr:nvSpPr>
      <xdr:spPr bwMode="auto">
        <a:xfrm>
          <a:off x="438150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279" name="Text Box 693">
          <a:extLst>
            <a:ext uri="{FF2B5EF4-FFF2-40B4-BE49-F238E27FC236}">
              <a16:creationId xmlns:a16="http://schemas.microsoft.com/office/drawing/2014/main" id="{00000000-0008-0000-0000-0000FF04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280" name="Text Box 694">
          <a:extLst>
            <a:ext uri="{FF2B5EF4-FFF2-40B4-BE49-F238E27FC236}">
              <a16:creationId xmlns:a16="http://schemas.microsoft.com/office/drawing/2014/main" id="{00000000-0008-0000-0000-000000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281" name="Text Box 695">
          <a:extLst>
            <a:ext uri="{FF2B5EF4-FFF2-40B4-BE49-F238E27FC236}">
              <a16:creationId xmlns:a16="http://schemas.microsoft.com/office/drawing/2014/main" id="{00000000-0008-0000-0000-000001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282" name="Text Box 696">
          <a:extLst>
            <a:ext uri="{FF2B5EF4-FFF2-40B4-BE49-F238E27FC236}">
              <a16:creationId xmlns:a16="http://schemas.microsoft.com/office/drawing/2014/main" id="{00000000-0008-0000-0000-000002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283" name="Text Box 697">
          <a:extLst>
            <a:ext uri="{FF2B5EF4-FFF2-40B4-BE49-F238E27FC236}">
              <a16:creationId xmlns:a16="http://schemas.microsoft.com/office/drawing/2014/main" id="{00000000-0008-0000-0000-000003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284" name="Text Box 698">
          <a:extLst>
            <a:ext uri="{FF2B5EF4-FFF2-40B4-BE49-F238E27FC236}">
              <a16:creationId xmlns:a16="http://schemas.microsoft.com/office/drawing/2014/main" id="{00000000-0008-0000-0000-000004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285" name="Text Box 699">
          <a:extLst>
            <a:ext uri="{FF2B5EF4-FFF2-40B4-BE49-F238E27FC236}">
              <a16:creationId xmlns:a16="http://schemas.microsoft.com/office/drawing/2014/main" id="{00000000-0008-0000-0000-000005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286" name="Text Box 700">
          <a:extLst>
            <a:ext uri="{FF2B5EF4-FFF2-40B4-BE49-F238E27FC236}">
              <a16:creationId xmlns:a16="http://schemas.microsoft.com/office/drawing/2014/main" id="{00000000-0008-0000-0000-000006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287" name="Text Box 701">
          <a:extLst>
            <a:ext uri="{FF2B5EF4-FFF2-40B4-BE49-F238E27FC236}">
              <a16:creationId xmlns:a16="http://schemas.microsoft.com/office/drawing/2014/main" id="{00000000-0008-0000-0000-000007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288" name="Text Box 702">
          <a:extLst>
            <a:ext uri="{FF2B5EF4-FFF2-40B4-BE49-F238E27FC236}">
              <a16:creationId xmlns:a16="http://schemas.microsoft.com/office/drawing/2014/main" id="{00000000-0008-0000-0000-000008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289" name="Text Box 703">
          <a:extLst>
            <a:ext uri="{FF2B5EF4-FFF2-40B4-BE49-F238E27FC236}">
              <a16:creationId xmlns:a16="http://schemas.microsoft.com/office/drawing/2014/main" id="{00000000-0008-0000-0000-000009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290" name="Text Box 704">
          <a:extLst>
            <a:ext uri="{FF2B5EF4-FFF2-40B4-BE49-F238E27FC236}">
              <a16:creationId xmlns:a16="http://schemas.microsoft.com/office/drawing/2014/main" id="{00000000-0008-0000-0000-00000A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291" name="Text Box 705">
          <a:extLst>
            <a:ext uri="{FF2B5EF4-FFF2-40B4-BE49-F238E27FC236}">
              <a16:creationId xmlns:a16="http://schemas.microsoft.com/office/drawing/2014/main" id="{00000000-0008-0000-0000-00000B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292" name="Text Box 706">
          <a:extLst>
            <a:ext uri="{FF2B5EF4-FFF2-40B4-BE49-F238E27FC236}">
              <a16:creationId xmlns:a16="http://schemas.microsoft.com/office/drawing/2014/main" id="{00000000-0008-0000-0000-00000C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293" name="Text Box 707">
          <a:extLst>
            <a:ext uri="{FF2B5EF4-FFF2-40B4-BE49-F238E27FC236}">
              <a16:creationId xmlns:a16="http://schemas.microsoft.com/office/drawing/2014/main" id="{00000000-0008-0000-0000-00000D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294" name="Text Box 708">
          <a:extLst>
            <a:ext uri="{FF2B5EF4-FFF2-40B4-BE49-F238E27FC236}">
              <a16:creationId xmlns:a16="http://schemas.microsoft.com/office/drawing/2014/main" id="{00000000-0008-0000-0000-00000E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295" name="Text Box 709">
          <a:extLst>
            <a:ext uri="{FF2B5EF4-FFF2-40B4-BE49-F238E27FC236}">
              <a16:creationId xmlns:a16="http://schemas.microsoft.com/office/drawing/2014/main" id="{00000000-0008-0000-0000-00000F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296" name="Text Box 710">
          <a:extLst>
            <a:ext uri="{FF2B5EF4-FFF2-40B4-BE49-F238E27FC236}">
              <a16:creationId xmlns:a16="http://schemas.microsoft.com/office/drawing/2014/main" id="{00000000-0008-0000-0000-000010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297" name="Text Box 711">
          <a:extLst>
            <a:ext uri="{FF2B5EF4-FFF2-40B4-BE49-F238E27FC236}">
              <a16:creationId xmlns:a16="http://schemas.microsoft.com/office/drawing/2014/main" id="{00000000-0008-0000-0000-000011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298" name="Text Box 712">
          <a:extLst>
            <a:ext uri="{FF2B5EF4-FFF2-40B4-BE49-F238E27FC236}">
              <a16:creationId xmlns:a16="http://schemas.microsoft.com/office/drawing/2014/main" id="{00000000-0008-0000-0000-000012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299" name="Text Box 713">
          <a:extLst>
            <a:ext uri="{FF2B5EF4-FFF2-40B4-BE49-F238E27FC236}">
              <a16:creationId xmlns:a16="http://schemas.microsoft.com/office/drawing/2014/main" id="{00000000-0008-0000-0000-000013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00" name="Text Box 714">
          <a:extLst>
            <a:ext uri="{FF2B5EF4-FFF2-40B4-BE49-F238E27FC236}">
              <a16:creationId xmlns:a16="http://schemas.microsoft.com/office/drawing/2014/main" id="{00000000-0008-0000-0000-000014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01" name="Text Box 715">
          <a:extLst>
            <a:ext uri="{FF2B5EF4-FFF2-40B4-BE49-F238E27FC236}">
              <a16:creationId xmlns:a16="http://schemas.microsoft.com/office/drawing/2014/main" id="{00000000-0008-0000-0000-000015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02" name="Text Box 716">
          <a:extLst>
            <a:ext uri="{FF2B5EF4-FFF2-40B4-BE49-F238E27FC236}">
              <a16:creationId xmlns:a16="http://schemas.microsoft.com/office/drawing/2014/main" id="{00000000-0008-0000-0000-000016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03" name="Text Box 717">
          <a:extLst>
            <a:ext uri="{FF2B5EF4-FFF2-40B4-BE49-F238E27FC236}">
              <a16:creationId xmlns:a16="http://schemas.microsoft.com/office/drawing/2014/main" id="{00000000-0008-0000-0000-000017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04" name="Text Box 718">
          <a:extLst>
            <a:ext uri="{FF2B5EF4-FFF2-40B4-BE49-F238E27FC236}">
              <a16:creationId xmlns:a16="http://schemas.microsoft.com/office/drawing/2014/main" id="{00000000-0008-0000-0000-000018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05" name="Text Box 719">
          <a:extLst>
            <a:ext uri="{FF2B5EF4-FFF2-40B4-BE49-F238E27FC236}">
              <a16:creationId xmlns:a16="http://schemas.microsoft.com/office/drawing/2014/main" id="{00000000-0008-0000-0000-000019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06" name="Text Box 720">
          <a:extLst>
            <a:ext uri="{FF2B5EF4-FFF2-40B4-BE49-F238E27FC236}">
              <a16:creationId xmlns:a16="http://schemas.microsoft.com/office/drawing/2014/main" id="{00000000-0008-0000-0000-00001A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07" name="Text Box 721">
          <a:extLst>
            <a:ext uri="{FF2B5EF4-FFF2-40B4-BE49-F238E27FC236}">
              <a16:creationId xmlns:a16="http://schemas.microsoft.com/office/drawing/2014/main" id="{00000000-0008-0000-0000-00001B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08" name="Text Box 722">
          <a:extLst>
            <a:ext uri="{FF2B5EF4-FFF2-40B4-BE49-F238E27FC236}">
              <a16:creationId xmlns:a16="http://schemas.microsoft.com/office/drawing/2014/main" id="{00000000-0008-0000-0000-00001C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09" name="Text Box 723">
          <a:extLst>
            <a:ext uri="{FF2B5EF4-FFF2-40B4-BE49-F238E27FC236}">
              <a16:creationId xmlns:a16="http://schemas.microsoft.com/office/drawing/2014/main" id="{00000000-0008-0000-0000-00001D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10" name="Text Box 724">
          <a:extLst>
            <a:ext uri="{FF2B5EF4-FFF2-40B4-BE49-F238E27FC236}">
              <a16:creationId xmlns:a16="http://schemas.microsoft.com/office/drawing/2014/main" id="{00000000-0008-0000-0000-00001E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11" name="Text Box 725">
          <a:extLst>
            <a:ext uri="{FF2B5EF4-FFF2-40B4-BE49-F238E27FC236}">
              <a16:creationId xmlns:a16="http://schemas.microsoft.com/office/drawing/2014/main" id="{00000000-0008-0000-0000-00001F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12" name="Text Box 726">
          <a:extLst>
            <a:ext uri="{FF2B5EF4-FFF2-40B4-BE49-F238E27FC236}">
              <a16:creationId xmlns:a16="http://schemas.microsoft.com/office/drawing/2014/main" id="{00000000-0008-0000-0000-000020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13" name="Text Box 727">
          <a:extLst>
            <a:ext uri="{FF2B5EF4-FFF2-40B4-BE49-F238E27FC236}">
              <a16:creationId xmlns:a16="http://schemas.microsoft.com/office/drawing/2014/main" id="{00000000-0008-0000-0000-000021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14" name="Text Box 728">
          <a:extLst>
            <a:ext uri="{FF2B5EF4-FFF2-40B4-BE49-F238E27FC236}">
              <a16:creationId xmlns:a16="http://schemas.microsoft.com/office/drawing/2014/main" id="{00000000-0008-0000-0000-000022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15" name="Text Box 729">
          <a:extLst>
            <a:ext uri="{FF2B5EF4-FFF2-40B4-BE49-F238E27FC236}">
              <a16:creationId xmlns:a16="http://schemas.microsoft.com/office/drawing/2014/main" id="{00000000-0008-0000-0000-000023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16" name="Text Box 730">
          <a:extLst>
            <a:ext uri="{FF2B5EF4-FFF2-40B4-BE49-F238E27FC236}">
              <a16:creationId xmlns:a16="http://schemas.microsoft.com/office/drawing/2014/main" id="{00000000-0008-0000-0000-000024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17" name="Text Box 731">
          <a:extLst>
            <a:ext uri="{FF2B5EF4-FFF2-40B4-BE49-F238E27FC236}">
              <a16:creationId xmlns:a16="http://schemas.microsoft.com/office/drawing/2014/main" id="{00000000-0008-0000-0000-000025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18" name="Text Box 732">
          <a:extLst>
            <a:ext uri="{FF2B5EF4-FFF2-40B4-BE49-F238E27FC236}">
              <a16:creationId xmlns:a16="http://schemas.microsoft.com/office/drawing/2014/main" id="{00000000-0008-0000-0000-000026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19" name="Text Box 733">
          <a:extLst>
            <a:ext uri="{FF2B5EF4-FFF2-40B4-BE49-F238E27FC236}">
              <a16:creationId xmlns:a16="http://schemas.microsoft.com/office/drawing/2014/main" id="{00000000-0008-0000-0000-000027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20" name="Text Box 734">
          <a:extLst>
            <a:ext uri="{FF2B5EF4-FFF2-40B4-BE49-F238E27FC236}">
              <a16:creationId xmlns:a16="http://schemas.microsoft.com/office/drawing/2014/main" id="{00000000-0008-0000-0000-000028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21" name="Text Box 735">
          <a:extLst>
            <a:ext uri="{FF2B5EF4-FFF2-40B4-BE49-F238E27FC236}">
              <a16:creationId xmlns:a16="http://schemas.microsoft.com/office/drawing/2014/main" id="{00000000-0008-0000-0000-000029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22" name="Text Box 736">
          <a:extLst>
            <a:ext uri="{FF2B5EF4-FFF2-40B4-BE49-F238E27FC236}">
              <a16:creationId xmlns:a16="http://schemas.microsoft.com/office/drawing/2014/main" id="{00000000-0008-0000-0000-00002A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23" name="Text Box 737">
          <a:extLst>
            <a:ext uri="{FF2B5EF4-FFF2-40B4-BE49-F238E27FC236}">
              <a16:creationId xmlns:a16="http://schemas.microsoft.com/office/drawing/2014/main" id="{00000000-0008-0000-0000-00002B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24" name="Text Box 738">
          <a:extLst>
            <a:ext uri="{FF2B5EF4-FFF2-40B4-BE49-F238E27FC236}">
              <a16:creationId xmlns:a16="http://schemas.microsoft.com/office/drawing/2014/main" id="{00000000-0008-0000-0000-00002C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25" name="Text Box 739">
          <a:extLst>
            <a:ext uri="{FF2B5EF4-FFF2-40B4-BE49-F238E27FC236}">
              <a16:creationId xmlns:a16="http://schemas.microsoft.com/office/drawing/2014/main" id="{00000000-0008-0000-0000-00002D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26" name="Text Box 740">
          <a:extLst>
            <a:ext uri="{FF2B5EF4-FFF2-40B4-BE49-F238E27FC236}">
              <a16:creationId xmlns:a16="http://schemas.microsoft.com/office/drawing/2014/main" id="{00000000-0008-0000-0000-00002E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27" name="Text Box 741">
          <a:extLst>
            <a:ext uri="{FF2B5EF4-FFF2-40B4-BE49-F238E27FC236}">
              <a16:creationId xmlns:a16="http://schemas.microsoft.com/office/drawing/2014/main" id="{00000000-0008-0000-0000-00002F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28" name="Text Box 742">
          <a:extLst>
            <a:ext uri="{FF2B5EF4-FFF2-40B4-BE49-F238E27FC236}">
              <a16:creationId xmlns:a16="http://schemas.microsoft.com/office/drawing/2014/main" id="{00000000-0008-0000-0000-000030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29" name="Text Box 743">
          <a:extLst>
            <a:ext uri="{FF2B5EF4-FFF2-40B4-BE49-F238E27FC236}">
              <a16:creationId xmlns:a16="http://schemas.microsoft.com/office/drawing/2014/main" id="{00000000-0008-0000-0000-000031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30" name="Text Box 744">
          <a:extLst>
            <a:ext uri="{FF2B5EF4-FFF2-40B4-BE49-F238E27FC236}">
              <a16:creationId xmlns:a16="http://schemas.microsoft.com/office/drawing/2014/main" id="{00000000-0008-0000-0000-000032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31" name="Text Box 745">
          <a:extLst>
            <a:ext uri="{FF2B5EF4-FFF2-40B4-BE49-F238E27FC236}">
              <a16:creationId xmlns:a16="http://schemas.microsoft.com/office/drawing/2014/main" id="{00000000-0008-0000-0000-000033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32" name="Text Box 746">
          <a:extLst>
            <a:ext uri="{FF2B5EF4-FFF2-40B4-BE49-F238E27FC236}">
              <a16:creationId xmlns:a16="http://schemas.microsoft.com/office/drawing/2014/main" id="{00000000-0008-0000-0000-000034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33" name="Text Box 747">
          <a:extLst>
            <a:ext uri="{FF2B5EF4-FFF2-40B4-BE49-F238E27FC236}">
              <a16:creationId xmlns:a16="http://schemas.microsoft.com/office/drawing/2014/main" id="{00000000-0008-0000-0000-000035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34" name="Text Box 748">
          <a:extLst>
            <a:ext uri="{FF2B5EF4-FFF2-40B4-BE49-F238E27FC236}">
              <a16:creationId xmlns:a16="http://schemas.microsoft.com/office/drawing/2014/main" id="{00000000-0008-0000-0000-000036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35" name="Text Box 749">
          <a:extLst>
            <a:ext uri="{FF2B5EF4-FFF2-40B4-BE49-F238E27FC236}">
              <a16:creationId xmlns:a16="http://schemas.microsoft.com/office/drawing/2014/main" id="{00000000-0008-0000-0000-000037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36" name="Text Box 750">
          <a:extLst>
            <a:ext uri="{FF2B5EF4-FFF2-40B4-BE49-F238E27FC236}">
              <a16:creationId xmlns:a16="http://schemas.microsoft.com/office/drawing/2014/main" id="{00000000-0008-0000-0000-000038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37" name="Text Box 751">
          <a:extLst>
            <a:ext uri="{FF2B5EF4-FFF2-40B4-BE49-F238E27FC236}">
              <a16:creationId xmlns:a16="http://schemas.microsoft.com/office/drawing/2014/main" id="{00000000-0008-0000-0000-000039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38" name="Text Box 752">
          <a:extLst>
            <a:ext uri="{FF2B5EF4-FFF2-40B4-BE49-F238E27FC236}">
              <a16:creationId xmlns:a16="http://schemas.microsoft.com/office/drawing/2014/main" id="{00000000-0008-0000-0000-00003A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39" name="Text Box 753">
          <a:extLst>
            <a:ext uri="{FF2B5EF4-FFF2-40B4-BE49-F238E27FC236}">
              <a16:creationId xmlns:a16="http://schemas.microsoft.com/office/drawing/2014/main" id="{00000000-0008-0000-0000-00003B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40" name="Text Box 754">
          <a:extLst>
            <a:ext uri="{FF2B5EF4-FFF2-40B4-BE49-F238E27FC236}">
              <a16:creationId xmlns:a16="http://schemas.microsoft.com/office/drawing/2014/main" id="{00000000-0008-0000-0000-00003C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41" name="Text Box 755">
          <a:extLst>
            <a:ext uri="{FF2B5EF4-FFF2-40B4-BE49-F238E27FC236}">
              <a16:creationId xmlns:a16="http://schemas.microsoft.com/office/drawing/2014/main" id="{00000000-0008-0000-0000-00003D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42" name="Text Box 756">
          <a:extLst>
            <a:ext uri="{FF2B5EF4-FFF2-40B4-BE49-F238E27FC236}">
              <a16:creationId xmlns:a16="http://schemas.microsoft.com/office/drawing/2014/main" id="{00000000-0008-0000-0000-00003E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43" name="Text Box 757">
          <a:extLst>
            <a:ext uri="{FF2B5EF4-FFF2-40B4-BE49-F238E27FC236}">
              <a16:creationId xmlns:a16="http://schemas.microsoft.com/office/drawing/2014/main" id="{00000000-0008-0000-0000-00003F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44" name="Text Box 758">
          <a:extLst>
            <a:ext uri="{FF2B5EF4-FFF2-40B4-BE49-F238E27FC236}">
              <a16:creationId xmlns:a16="http://schemas.microsoft.com/office/drawing/2014/main" id="{00000000-0008-0000-0000-000040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45" name="Text Box 759">
          <a:extLst>
            <a:ext uri="{FF2B5EF4-FFF2-40B4-BE49-F238E27FC236}">
              <a16:creationId xmlns:a16="http://schemas.microsoft.com/office/drawing/2014/main" id="{00000000-0008-0000-0000-000041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46" name="Text Box 760">
          <a:extLst>
            <a:ext uri="{FF2B5EF4-FFF2-40B4-BE49-F238E27FC236}">
              <a16:creationId xmlns:a16="http://schemas.microsoft.com/office/drawing/2014/main" id="{00000000-0008-0000-0000-000042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47" name="Text Box 761">
          <a:extLst>
            <a:ext uri="{FF2B5EF4-FFF2-40B4-BE49-F238E27FC236}">
              <a16:creationId xmlns:a16="http://schemas.microsoft.com/office/drawing/2014/main" id="{00000000-0008-0000-0000-000043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48" name="Text Box 762">
          <a:extLst>
            <a:ext uri="{FF2B5EF4-FFF2-40B4-BE49-F238E27FC236}">
              <a16:creationId xmlns:a16="http://schemas.microsoft.com/office/drawing/2014/main" id="{00000000-0008-0000-0000-000044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49" name="Text Box 763">
          <a:extLst>
            <a:ext uri="{FF2B5EF4-FFF2-40B4-BE49-F238E27FC236}">
              <a16:creationId xmlns:a16="http://schemas.microsoft.com/office/drawing/2014/main" id="{00000000-0008-0000-0000-000045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50" name="Text Box 764">
          <a:extLst>
            <a:ext uri="{FF2B5EF4-FFF2-40B4-BE49-F238E27FC236}">
              <a16:creationId xmlns:a16="http://schemas.microsoft.com/office/drawing/2014/main" id="{00000000-0008-0000-0000-000046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51" name="Text Box 765">
          <a:extLst>
            <a:ext uri="{FF2B5EF4-FFF2-40B4-BE49-F238E27FC236}">
              <a16:creationId xmlns:a16="http://schemas.microsoft.com/office/drawing/2014/main" id="{00000000-0008-0000-0000-000047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52" name="Text Box 766">
          <a:extLst>
            <a:ext uri="{FF2B5EF4-FFF2-40B4-BE49-F238E27FC236}">
              <a16:creationId xmlns:a16="http://schemas.microsoft.com/office/drawing/2014/main" id="{00000000-0008-0000-0000-000048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53" name="Text Box 767">
          <a:extLst>
            <a:ext uri="{FF2B5EF4-FFF2-40B4-BE49-F238E27FC236}">
              <a16:creationId xmlns:a16="http://schemas.microsoft.com/office/drawing/2014/main" id="{00000000-0008-0000-0000-000049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54" name="Text Box 768">
          <a:extLst>
            <a:ext uri="{FF2B5EF4-FFF2-40B4-BE49-F238E27FC236}">
              <a16:creationId xmlns:a16="http://schemas.microsoft.com/office/drawing/2014/main" id="{00000000-0008-0000-0000-00004A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55" name="Text Box 769">
          <a:extLst>
            <a:ext uri="{FF2B5EF4-FFF2-40B4-BE49-F238E27FC236}">
              <a16:creationId xmlns:a16="http://schemas.microsoft.com/office/drawing/2014/main" id="{00000000-0008-0000-0000-00004B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56" name="Text Box 770">
          <a:extLst>
            <a:ext uri="{FF2B5EF4-FFF2-40B4-BE49-F238E27FC236}">
              <a16:creationId xmlns:a16="http://schemas.microsoft.com/office/drawing/2014/main" id="{00000000-0008-0000-0000-00004C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57" name="Text Box 771">
          <a:extLst>
            <a:ext uri="{FF2B5EF4-FFF2-40B4-BE49-F238E27FC236}">
              <a16:creationId xmlns:a16="http://schemas.microsoft.com/office/drawing/2014/main" id="{00000000-0008-0000-0000-00004D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58" name="Text Box 772">
          <a:extLst>
            <a:ext uri="{FF2B5EF4-FFF2-40B4-BE49-F238E27FC236}">
              <a16:creationId xmlns:a16="http://schemas.microsoft.com/office/drawing/2014/main" id="{00000000-0008-0000-0000-00004E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59" name="Text Box 773">
          <a:extLst>
            <a:ext uri="{FF2B5EF4-FFF2-40B4-BE49-F238E27FC236}">
              <a16:creationId xmlns:a16="http://schemas.microsoft.com/office/drawing/2014/main" id="{00000000-0008-0000-0000-00004F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60" name="Text Box 774">
          <a:extLst>
            <a:ext uri="{FF2B5EF4-FFF2-40B4-BE49-F238E27FC236}">
              <a16:creationId xmlns:a16="http://schemas.microsoft.com/office/drawing/2014/main" id="{00000000-0008-0000-0000-000050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61" name="Text Box 775">
          <a:extLst>
            <a:ext uri="{FF2B5EF4-FFF2-40B4-BE49-F238E27FC236}">
              <a16:creationId xmlns:a16="http://schemas.microsoft.com/office/drawing/2014/main" id="{00000000-0008-0000-0000-000051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62" name="Text Box 776">
          <a:extLst>
            <a:ext uri="{FF2B5EF4-FFF2-40B4-BE49-F238E27FC236}">
              <a16:creationId xmlns:a16="http://schemas.microsoft.com/office/drawing/2014/main" id="{00000000-0008-0000-0000-000052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63" name="Text Box 777">
          <a:extLst>
            <a:ext uri="{FF2B5EF4-FFF2-40B4-BE49-F238E27FC236}">
              <a16:creationId xmlns:a16="http://schemas.microsoft.com/office/drawing/2014/main" id="{00000000-0008-0000-0000-000053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64" name="Text Box 693">
          <a:extLst>
            <a:ext uri="{FF2B5EF4-FFF2-40B4-BE49-F238E27FC236}">
              <a16:creationId xmlns:a16="http://schemas.microsoft.com/office/drawing/2014/main" id="{00000000-0008-0000-0000-000054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65" name="Text Box 694">
          <a:extLst>
            <a:ext uri="{FF2B5EF4-FFF2-40B4-BE49-F238E27FC236}">
              <a16:creationId xmlns:a16="http://schemas.microsoft.com/office/drawing/2014/main" id="{00000000-0008-0000-0000-000055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66" name="Text Box 695">
          <a:extLst>
            <a:ext uri="{FF2B5EF4-FFF2-40B4-BE49-F238E27FC236}">
              <a16:creationId xmlns:a16="http://schemas.microsoft.com/office/drawing/2014/main" id="{00000000-0008-0000-0000-000056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67" name="Text Box 696">
          <a:extLst>
            <a:ext uri="{FF2B5EF4-FFF2-40B4-BE49-F238E27FC236}">
              <a16:creationId xmlns:a16="http://schemas.microsoft.com/office/drawing/2014/main" id="{00000000-0008-0000-0000-000057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68" name="Text Box 697">
          <a:extLst>
            <a:ext uri="{FF2B5EF4-FFF2-40B4-BE49-F238E27FC236}">
              <a16:creationId xmlns:a16="http://schemas.microsoft.com/office/drawing/2014/main" id="{00000000-0008-0000-0000-000058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69" name="Text Box 698">
          <a:extLst>
            <a:ext uri="{FF2B5EF4-FFF2-40B4-BE49-F238E27FC236}">
              <a16:creationId xmlns:a16="http://schemas.microsoft.com/office/drawing/2014/main" id="{00000000-0008-0000-0000-000059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70" name="Text Box 699">
          <a:extLst>
            <a:ext uri="{FF2B5EF4-FFF2-40B4-BE49-F238E27FC236}">
              <a16:creationId xmlns:a16="http://schemas.microsoft.com/office/drawing/2014/main" id="{00000000-0008-0000-0000-00005A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71" name="Text Box 700">
          <a:extLst>
            <a:ext uri="{FF2B5EF4-FFF2-40B4-BE49-F238E27FC236}">
              <a16:creationId xmlns:a16="http://schemas.microsoft.com/office/drawing/2014/main" id="{00000000-0008-0000-0000-00005B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72" name="Text Box 701">
          <a:extLst>
            <a:ext uri="{FF2B5EF4-FFF2-40B4-BE49-F238E27FC236}">
              <a16:creationId xmlns:a16="http://schemas.microsoft.com/office/drawing/2014/main" id="{00000000-0008-0000-0000-00005C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73" name="Text Box 702">
          <a:extLst>
            <a:ext uri="{FF2B5EF4-FFF2-40B4-BE49-F238E27FC236}">
              <a16:creationId xmlns:a16="http://schemas.microsoft.com/office/drawing/2014/main" id="{00000000-0008-0000-0000-00005D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74" name="Text Box 703">
          <a:extLst>
            <a:ext uri="{FF2B5EF4-FFF2-40B4-BE49-F238E27FC236}">
              <a16:creationId xmlns:a16="http://schemas.microsoft.com/office/drawing/2014/main" id="{00000000-0008-0000-0000-00005E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75" name="Text Box 704">
          <a:extLst>
            <a:ext uri="{FF2B5EF4-FFF2-40B4-BE49-F238E27FC236}">
              <a16:creationId xmlns:a16="http://schemas.microsoft.com/office/drawing/2014/main" id="{00000000-0008-0000-0000-00005F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76" name="Text Box 705">
          <a:extLst>
            <a:ext uri="{FF2B5EF4-FFF2-40B4-BE49-F238E27FC236}">
              <a16:creationId xmlns:a16="http://schemas.microsoft.com/office/drawing/2014/main" id="{00000000-0008-0000-0000-000060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77" name="Text Box 706">
          <a:extLst>
            <a:ext uri="{FF2B5EF4-FFF2-40B4-BE49-F238E27FC236}">
              <a16:creationId xmlns:a16="http://schemas.microsoft.com/office/drawing/2014/main" id="{00000000-0008-0000-0000-000061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78" name="Text Box 707">
          <a:extLst>
            <a:ext uri="{FF2B5EF4-FFF2-40B4-BE49-F238E27FC236}">
              <a16:creationId xmlns:a16="http://schemas.microsoft.com/office/drawing/2014/main" id="{00000000-0008-0000-0000-000062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79" name="Text Box 708">
          <a:extLst>
            <a:ext uri="{FF2B5EF4-FFF2-40B4-BE49-F238E27FC236}">
              <a16:creationId xmlns:a16="http://schemas.microsoft.com/office/drawing/2014/main" id="{00000000-0008-0000-0000-000063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80" name="Text Box 709">
          <a:extLst>
            <a:ext uri="{FF2B5EF4-FFF2-40B4-BE49-F238E27FC236}">
              <a16:creationId xmlns:a16="http://schemas.microsoft.com/office/drawing/2014/main" id="{00000000-0008-0000-0000-000064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81" name="Text Box 710">
          <a:extLst>
            <a:ext uri="{FF2B5EF4-FFF2-40B4-BE49-F238E27FC236}">
              <a16:creationId xmlns:a16="http://schemas.microsoft.com/office/drawing/2014/main" id="{00000000-0008-0000-0000-000065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82" name="Text Box 711">
          <a:extLst>
            <a:ext uri="{FF2B5EF4-FFF2-40B4-BE49-F238E27FC236}">
              <a16:creationId xmlns:a16="http://schemas.microsoft.com/office/drawing/2014/main" id="{00000000-0008-0000-0000-000066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83" name="Text Box 712">
          <a:extLst>
            <a:ext uri="{FF2B5EF4-FFF2-40B4-BE49-F238E27FC236}">
              <a16:creationId xmlns:a16="http://schemas.microsoft.com/office/drawing/2014/main" id="{00000000-0008-0000-0000-000067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84" name="Text Box 713">
          <a:extLst>
            <a:ext uri="{FF2B5EF4-FFF2-40B4-BE49-F238E27FC236}">
              <a16:creationId xmlns:a16="http://schemas.microsoft.com/office/drawing/2014/main" id="{00000000-0008-0000-0000-000068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85" name="Text Box 714">
          <a:extLst>
            <a:ext uri="{FF2B5EF4-FFF2-40B4-BE49-F238E27FC236}">
              <a16:creationId xmlns:a16="http://schemas.microsoft.com/office/drawing/2014/main" id="{00000000-0008-0000-0000-000069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86" name="Text Box 715">
          <a:extLst>
            <a:ext uri="{FF2B5EF4-FFF2-40B4-BE49-F238E27FC236}">
              <a16:creationId xmlns:a16="http://schemas.microsoft.com/office/drawing/2014/main" id="{00000000-0008-0000-0000-00006A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87" name="Text Box 716">
          <a:extLst>
            <a:ext uri="{FF2B5EF4-FFF2-40B4-BE49-F238E27FC236}">
              <a16:creationId xmlns:a16="http://schemas.microsoft.com/office/drawing/2014/main" id="{00000000-0008-0000-0000-00006B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88" name="Text Box 717">
          <a:extLst>
            <a:ext uri="{FF2B5EF4-FFF2-40B4-BE49-F238E27FC236}">
              <a16:creationId xmlns:a16="http://schemas.microsoft.com/office/drawing/2014/main" id="{00000000-0008-0000-0000-00006C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89" name="Text Box 718">
          <a:extLst>
            <a:ext uri="{FF2B5EF4-FFF2-40B4-BE49-F238E27FC236}">
              <a16:creationId xmlns:a16="http://schemas.microsoft.com/office/drawing/2014/main" id="{00000000-0008-0000-0000-00006D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90" name="Text Box 719">
          <a:extLst>
            <a:ext uri="{FF2B5EF4-FFF2-40B4-BE49-F238E27FC236}">
              <a16:creationId xmlns:a16="http://schemas.microsoft.com/office/drawing/2014/main" id="{00000000-0008-0000-0000-00006E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91" name="Text Box 720">
          <a:extLst>
            <a:ext uri="{FF2B5EF4-FFF2-40B4-BE49-F238E27FC236}">
              <a16:creationId xmlns:a16="http://schemas.microsoft.com/office/drawing/2014/main" id="{00000000-0008-0000-0000-00006F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92" name="Text Box 721">
          <a:extLst>
            <a:ext uri="{FF2B5EF4-FFF2-40B4-BE49-F238E27FC236}">
              <a16:creationId xmlns:a16="http://schemas.microsoft.com/office/drawing/2014/main" id="{00000000-0008-0000-0000-000070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93" name="Text Box 722">
          <a:extLst>
            <a:ext uri="{FF2B5EF4-FFF2-40B4-BE49-F238E27FC236}">
              <a16:creationId xmlns:a16="http://schemas.microsoft.com/office/drawing/2014/main" id="{00000000-0008-0000-0000-000071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94" name="Text Box 723">
          <a:extLst>
            <a:ext uri="{FF2B5EF4-FFF2-40B4-BE49-F238E27FC236}">
              <a16:creationId xmlns:a16="http://schemas.microsoft.com/office/drawing/2014/main" id="{00000000-0008-0000-0000-000072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95" name="Text Box 724">
          <a:extLst>
            <a:ext uri="{FF2B5EF4-FFF2-40B4-BE49-F238E27FC236}">
              <a16:creationId xmlns:a16="http://schemas.microsoft.com/office/drawing/2014/main" id="{00000000-0008-0000-0000-000073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96" name="Text Box 725">
          <a:extLst>
            <a:ext uri="{FF2B5EF4-FFF2-40B4-BE49-F238E27FC236}">
              <a16:creationId xmlns:a16="http://schemas.microsoft.com/office/drawing/2014/main" id="{00000000-0008-0000-0000-000074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97" name="Text Box 726">
          <a:extLst>
            <a:ext uri="{FF2B5EF4-FFF2-40B4-BE49-F238E27FC236}">
              <a16:creationId xmlns:a16="http://schemas.microsoft.com/office/drawing/2014/main" id="{00000000-0008-0000-0000-000075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98" name="Text Box 727">
          <a:extLst>
            <a:ext uri="{FF2B5EF4-FFF2-40B4-BE49-F238E27FC236}">
              <a16:creationId xmlns:a16="http://schemas.microsoft.com/office/drawing/2014/main" id="{00000000-0008-0000-0000-000076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399" name="Text Box 728">
          <a:extLst>
            <a:ext uri="{FF2B5EF4-FFF2-40B4-BE49-F238E27FC236}">
              <a16:creationId xmlns:a16="http://schemas.microsoft.com/office/drawing/2014/main" id="{00000000-0008-0000-0000-000077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400" name="Text Box 729">
          <a:extLst>
            <a:ext uri="{FF2B5EF4-FFF2-40B4-BE49-F238E27FC236}">
              <a16:creationId xmlns:a16="http://schemas.microsoft.com/office/drawing/2014/main" id="{00000000-0008-0000-0000-000078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401" name="Text Box 730">
          <a:extLst>
            <a:ext uri="{FF2B5EF4-FFF2-40B4-BE49-F238E27FC236}">
              <a16:creationId xmlns:a16="http://schemas.microsoft.com/office/drawing/2014/main" id="{00000000-0008-0000-0000-000079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402" name="Text Box 731">
          <a:extLst>
            <a:ext uri="{FF2B5EF4-FFF2-40B4-BE49-F238E27FC236}">
              <a16:creationId xmlns:a16="http://schemas.microsoft.com/office/drawing/2014/main" id="{00000000-0008-0000-0000-00007A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403" name="Text Box 732">
          <a:extLst>
            <a:ext uri="{FF2B5EF4-FFF2-40B4-BE49-F238E27FC236}">
              <a16:creationId xmlns:a16="http://schemas.microsoft.com/office/drawing/2014/main" id="{00000000-0008-0000-0000-00007B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404" name="Text Box 733">
          <a:extLst>
            <a:ext uri="{FF2B5EF4-FFF2-40B4-BE49-F238E27FC236}">
              <a16:creationId xmlns:a16="http://schemas.microsoft.com/office/drawing/2014/main" id="{00000000-0008-0000-0000-00007C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405" name="Text Box 734">
          <a:extLst>
            <a:ext uri="{FF2B5EF4-FFF2-40B4-BE49-F238E27FC236}">
              <a16:creationId xmlns:a16="http://schemas.microsoft.com/office/drawing/2014/main" id="{00000000-0008-0000-0000-00007D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406" name="Text Box 735">
          <a:extLst>
            <a:ext uri="{FF2B5EF4-FFF2-40B4-BE49-F238E27FC236}">
              <a16:creationId xmlns:a16="http://schemas.microsoft.com/office/drawing/2014/main" id="{00000000-0008-0000-0000-00007E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407" name="Text Box 736">
          <a:extLst>
            <a:ext uri="{FF2B5EF4-FFF2-40B4-BE49-F238E27FC236}">
              <a16:creationId xmlns:a16="http://schemas.microsoft.com/office/drawing/2014/main" id="{00000000-0008-0000-0000-00007F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408" name="Text Box 737">
          <a:extLst>
            <a:ext uri="{FF2B5EF4-FFF2-40B4-BE49-F238E27FC236}">
              <a16:creationId xmlns:a16="http://schemas.microsoft.com/office/drawing/2014/main" id="{00000000-0008-0000-0000-000080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409" name="Text Box 738">
          <a:extLst>
            <a:ext uri="{FF2B5EF4-FFF2-40B4-BE49-F238E27FC236}">
              <a16:creationId xmlns:a16="http://schemas.microsoft.com/office/drawing/2014/main" id="{00000000-0008-0000-0000-000081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410" name="Text Box 739">
          <a:extLst>
            <a:ext uri="{FF2B5EF4-FFF2-40B4-BE49-F238E27FC236}">
              <a16:creationId xmlns:a16="http://schemas.microsoft.com/office/drawing/2014/main" id="{00000000-0008-0000-0000-000082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411" name="Text Box 740">
          <a:extLst>
            <a:ext uri="{FF2B5EF4-FFF2-40B4-BE49-F238E27FC236}">
              <a16:creationId xmlns:a16="http://schemas.microsoft.com/office/drawing/2014/main" id="{00000000-0008-0000-0000-000083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412" name="Text Box 741">
          <a:extLst>
            <a:ext uri="{FF2B5EF4-FFF2-40B4-BE49-F238E27FC236}">
              <a16:creationId xmlns:a16="http://schemas.microsoft.com/office/drawing/2014/main" id="{00000000-0008-0000-0000-000084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413" name="Text Box 742">
          <a:extLst>
            <a:ext uri="{FF2B5EF4-FFF2-40B4-BE49-F238E27FC236}">
              <a16:creationId xmlns:a16="http://schemas.microsoft.com/office/drawing/2014/main" id="{00000000-0008-0000-0000-000085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414" name="Text Box 743">
          <a:extLst>
            <a:ext uri="{FF2B5EF4-FFF2-40B4-BE49-F238E27FC236}">
              <a16:creationId xmlns:a16="http://schemas.microsoft.com/office/drawing/2014/main" id="{00000000-0008-0000-0000-000086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415" name="Text Box 744">
          <a:extLst>
            <a:ext uri="{FF2B5EF4-FFF2-40B4-BE49-F238E27FC236}">
              <a16:creationId xmlns:a16="http://schemas.microsoft.com/office/drawing/2014/main" id="{00000000-0008-0000-0000-000087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416" name="Text Box 745">
          <a:extLst>
            <a:ext uri="{FF2B5EF4-FFF2-40B4-BE49-F238E27FC236}">
              <a16:creationId xmlns:a16="http://schemas.microsoft.com/office/drawing/2014/main" id="{00000000-0008-0000-0000-000088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417" name="Text Box 746">
          <a:extLst>
            <a:ext uri="{FF2B5EF4-FFF2-40B4-BE49-F238E27FC236}">
              <a16:creationId xmlns:a16="http://schemas.microsoft.com/office/drawing/2014/main" id="{00000000-0008-0000-0000-000089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418" name="Text Box 747">
          <a:extLst>
            <a:ext uri="{FF2B5EF4-FFF2-40B4-BE49-F238E27FC236}">
              <a16:creationId xmlns:a16="http://schemas.microsoft.com/office/drawing/2014/main" id="{00000000-0008-0000-0000-00008A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419" name="Text Box 748">
          <a:extLst>
            <a:ext uri="{FF2B5EF4-FFF2-40B4-BE49-F238E27FC236}">
              <a16:creationId xmlns:a16="http://schemas.microsoft.com/office/drawing/2014/main" id="{00000000-0008-0000-0000-00008B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420" name="Text Box 749">
          <a:extLst>
            <a:ext uri="{FF2B5EF4-FFF2-40B4-BE49-F238E27FC236}">
              <a16:creationId xmlns:a16="http://schemas.microsoft.com/office/drawing/2014/main" id="{00000000-0008-0000-0000-00008C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421" name="Text Box 750">
          <a:extLst>
            <a:ext uri="{FF2B5EF4-FFF2-40B4-BE49-F238E27FC236}">
              <a16:creationId xmlns:a16="http://schemas.microsoft.com/office/drawing/2014/main" id="{00000000-0008-0000-0000-00008D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422" name="Text Box 751">
          <a:extLst>
            <a:ext uri="{FF2B5EF4-FFF2-40B4-BE49-F238E27FC236}">
              <a16:creationId xmlns:a16="http://schemas.microsoft.com/office/drawing/2014/main" id="{00000000-0008-0000-0000-00008E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423" name="Text Box 752">
          <a:extLst>
            <a:ext uri="{FF2B5EF4-FFF2-40B4-BE49-F238E27FC236}">
              <a16:creationId xmlns:a16="http://schemas.microsoft.com/office/drawing/2014/main" id="{00000000-0008-0000-0000-00008F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424" name="Text Box 753">
          <a:extLst>
            <a:ext uri="{FF2B5EF4-FFF2-40B4-BE49-F238E27FC236}">
              <a16:creationId xmlns:a16="http://schemas.microsoft.com/office/drawing/2014/main" id="{00000000-0008-0000-0000-000090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425" name="Text Box 754">
          <a:extLst>
            <a:ext uri="{FF2B5EF4-FFF2-40B4-BE49-F238E27FC236}">
              <a16:creationId xmlns:a16="http://schemas.microsoft.com/office/drawing/2014/main" id="{00000000-0008-0000-0000-000091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426" name="Text Box 755">
          <a:extLst>
            <a:ext uri="{FF2B5EF4-FFF2-40B4-BE49-F238E27FC236}">
              <a16:creationId xmlns:a16="http://schemas.microsoft.com/office/drawing/2014/main" id="{00000000-0008-0000-0000-000092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427" name="Text Box 756">
          <a:extLst>
            <a:ext uri="{FF2B5EF4-FFF2-40B4-BE49-F238E27FC236}">
              <a16:creationId xmlns:a16="http://schemas.microsoft.com/office/drawing/2014/main" id="{00000000-0008-0000-0000-000093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428" name="Text Box 757">
          <a:extLst>
            <a:ext uri="{FF2B5EF4-FFF2-40B4-BE49-F238E27FC236}">
              <a16:creationId xmlns:a16="http://schemas.microsoft.com/office/drawing/2014/main" id="{00000000-0008-0000-0000-000094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429" name="Text Box 758">
          <a:extLst>
            <a:ext uri="{FF2B5EF4-FFF2-40B4-BE49-F238E27FC236}">
              <a16:creationId xmlns:a16="http://schemas.microsoft.com/office/drawing/2014/main" id="{00000000-0008-0000-0000-000095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430" name="Text Box 759">
          <a:extLst>
            <a:ext uri="{FF2B5EF4-FFF2-40B4-BE49-F238E27FC236}">
              <a16:creationId xmlns:a16="http://schemas.microsoft.com/office/drawing/2014/main" id="{00000000-0008-0000-0000-000096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431" name="Text Box 760">
          <a:extLst>
            <a:ext uri="{FF2B5EF4-FFF2-40B4-BE49-F238E27FC236}">
              <a16:creationId xmlns:a16="http://schemas.microsoft.com/office/drawing/2014/main" id="{00000000-0008-0000-0000-000097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432" name="Text Box 761">
          <a:extLst>
            <a:ext uri="{FF2B5EF4-FFF2-40B4-BE49-F238E27FC236}">
              <a16:creationId xmlns:a16="http://schemas.microsoft.com/office/drawing/2014/main" id="{00000000-0008-0000-0000-000098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433" name="Text Box 762">
          <a:extLst>
            <a:ext uri="{FF2B5EF4-FFF2-40B4-BE49-F238E27FC236}">
              <a16:creationId xmlns:a16="http://schemas.microsoft.com/office/drawing/2014/main" id="{00000000-0008-0000-0000-000099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434" name="Text Box 763">
          <a:extLst>
            <a:ext uri="{FF2B5EF4-FFF2-40B4-BE49-F238E27FC236}">
              <a16:creationId xmlns:a16="http://schemas.microsoft.com/office/drawing/2014/main" id="{00000000-0008-0000-0000-00009A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435" name="Text Box 764">
          <a:extLst>
            <a:ext uri="{FF2B5EF4-FFF2-40B4-BE49-F238E27FC236}">
              <a16:creationId xmlns:a16="http://schemas.microsoft.com/office/drawing/2014/main" id="{00000000-0008-0000-0000-00009B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436" name="Text Box 765">
          <a:extLst>
            <a:ext uri="{FF2B5EF4-FFF2-40B4-BE49-F238E27FC236}">
              <a16:creationId xmlns:a16="http://schemas.microsoft.com/office/drawing/2014/main" id="{00000000-0008-0000-0000-00009C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437" name="Text Box 766">
          <a:extLst>
            <a:ext uri="{FF2B5EF4-FFF2-40B4-BE49-F238E27FC236}">
              <a16:creationId xmlns:a16="http://schemas.microsoft.com/office/drawing/2014/main" id="{00000000-0008-0000-0000-00009D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438" name="Text Box 767">
          <a:extLst>
            <a:ext uri="{FF2B5EF4-FFF2-40B4-BE49-F238E27FC236}">
              <a16:creationId xmlns:a16="http://schemas.microsoft.com/office/drawing/2014/main" id="{00000000-0008-0000-0000-00009E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439" name="Text Box 768">
          <a:extLst>
            <a:ext uri="{FF2B5EF4-FFF2-40B4-BE49-F238E27FC236}">
              <a16:creationId xmlns:a16="http://schemas.microsoft.com/office/drawing/2014/main" id="{00000000-0008-0000-0000-00009F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440" name="Text Box 769">
          <a:extLst>
            <a:ext uri="{FF2B5EF4-FFF2-40B4-BE49-F238E27FC236}">
              <a16:creationId xmlns:a16="http://schemas.microsoft.com/office/drawing/2014/main" id="{00000000-0008-0000-0000-0000A0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441" name="Text Box 770">
          <a:extLst>
            <a:ext uri="{FF2B5EF4-FFF2-40B4-BE49-F238E27FC236}">
              <a16:creationId xmlns:a16="http://schemas.microsoft.com/office/drawing/2014/main" id="{00000000-0008-0000-0000-0000A1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442" name="Text Box 771">
          <a:extLst>
            <a:ext uri="{FF2B5EF4-FFF2-40B4-BE49-F238E27FC236}">
              <a16:creationId xmlns:a16="http://schemas.microsoft.com/office/drawing/2014/main" id="{00000000-0008-0000-0000-0000A2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443" name="Text Box 772">
          <a:extLst>
            <a:ext uri="{FF2B5EF4-FFF2-40B4-BE49-F238E27FC236}">
              <a16:creationId xmlns:a16="http://schemas.microsoft.com/office/drawing/2014/main" id="{00000000-0008-0000-0000-0000A3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444" name="Text Box 773">
          <a:extLst>
            <a:ext uri="{FF2B5EF4-FFF2-40B4-BE49-F238E27FC236}">
              <a16:creationId xmlns:a16="http://schemas.microsoft.com/office/drawing/2014/main" id="{00000000-0008-0000-0000-0000A4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445" name="Text Box 774">
          <a:extLst>
            <a:ext uri="{FF2B5EF4-FFF2-40B4-BE49-F238E27FC236}">
              <a16:creationId xmlns:a16="http://schemas.microsoft.com/office/drawing/2014/main" id="{00000000-0008-0000-0000-0000A5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446" name="Text Box 775">
          <a:extLst>
            <a:ext uri="{FF2B5EF4-FFF2-40B4-BE49-F238E27FC236}">
              <a16:creationId xmlns:a16="http://schemas.microsoft.com/office/drawing/2014/main" id="{00000000-0008-0000-0000-0000A6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447" name="Text Box 776">
          <a:extLst>
            <a:ext uri="{FF2B5EF4-FFF2-40B4-BE49-F238E27FC236}">
              <a16:creationId xmlns:a16="http://schemas.microsoft.com/office/drawing/2014/main" id="{00000000-0008-0000-0000-0000A7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1448" name="Text Box 777">
          <a:extLst>
            <a:ext uri="{FF2B5EF4-FFF2-40B4-BE49-F238E27FC236}">
              <a16:creationId xmlns:a16="http://schemas.microsoft.com/office/drawing/2014/main" id="{00000000-0008-0000-0000-0000A8050000}"/>
            </a:ext>
          </a:extLst>
        </xdr:cNvPr>
        <xdr:cNvSpPr>
          <a:spLocks noChangeArrowheads="1"/>
        </xdr:cNvSpPr>
      </xdr:nvSpPr>
      <xdr:spPr bwMode="auto">
        <a:xfrm>
          <a:off x="4684395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449" name="Text Box 693">
          <a:extLst>
            <a:ext uri="{FF2B5EF4-FFF2-40B4-BE49-F238E27FC236}">
              <a16:creationId xmlns:a16="http://schemas.microsoft.com/office/drawing/2014/main" id="{00000000-0008-0000-0000-0000A905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450" name="Text Box 694">
          <a:extLst>
            <a:ext uri="{FF2B5EF4-FFF2-40B4-BE49-F238E27FC236}">
              <a16:creationId xmlns:a16="http://schemas.microsoft.com/office/drawing/2014/main" id="{00000000-0008-0000-0000-0000AA05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451" name="Text Box 695">
          <a:extLst>
            <a:ext uri="{FF2B5EF4-FFF2-40B4-BE49-F238E27FC236}">
              <a16:creationId xmlns:a16="http://schemas.microsoft.com/office/drawing/2014/main" id="{00000000-0008-0000-0000-0000AB05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452" name="Text Box 696">
          <a:extLst>
            <a:ext uri="{FF2B5EF4-FFF2-40B4-BE49-F238E27FC236}">
              <a16:creationId xmlns:a16="http://schemas.microsoft.com/office/drawing/2014/main" id="{00000000-0008-0000-0000-0000AC05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453" name="Text Box 697">
          <a:extLst>
            <a:ext uri="{FF2B5EF4-FFF2-40B4-BE49-F238E27FC236}">
              <a16:creationId xmlns:a16="http://schemas.microsoft.com/office/drawing/2014/main" id="{00000000-0008-0000-0000-0000AD05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454" name="Text Box 698">
          <a:extLst>
            <a:ext uri="{FF2B5EF4-FFF2-40B4-BE49-F238E27FC236}">
              <a16:creationId xmlns:a16="http://schemas.microsoft.com/office/drawing/2014/main" id="{00000000-0008-0000-0000-0000AE05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455" name="Text Box 699">
          <a:extLst>
            <a:ext uri="{FF2B5EF4-FFF2-40B4-BE49-F238E27FC236}">
              <a16:creationId xmlns:a16="http://schemas.microsoft.com/office/drawing/2014/main" id="{00000000-0008-0000-0000-0000AF05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456" name="Text Box 700">
          <a:extLst>
            <a:ext uri="{FF2B5EF4-FFF2-40B4-BE49-F238E27FC236}">
              <a16:creationId xmlns:a16="http://schemas.microsoft.com/office/drawing/2014/main" id="{00000000-0008-0000-0000-0000B005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457" name="Text Box 701">
          <a:extLst>
            <a:ext uri="{FF2B5EF4-FFF2-40B4-BE49-F238E27FC236}">
              <a16:creationId xmlns:a16="http://schemas.microsoft.com/office/drawing/2014/main" id="{00000000-0008-0000-0000-0000B105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458" name="Text Box 702">
          <a:extLst>
            <a:ext uri="{FF2B5EF4-FFF2-40B4-BE49-F238E27FC236}">
              <a16:creationId xmlns:a16="http://schemas.microsoft.com/office/drawing/2014/main" id="{00000000-0008-0000-0000-0000B205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459" name="Text Box 703">
          <a:extLst>
            <a:ext uri="{FF2B5EF4-FFF2-40B4-BE49-F238E27FC236}">
              <a16:creationId xmlns:a16="http://schemas.microsoft.com/office/drawing/2014/main" id="{00000000-0008-0000-0000-0000B305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460" name="Text Box 704">
          <a:extLst>
            <a:ext uri="{FF2B5EF4-FFF2-40B4-BE49-F238E27FC236}">
              <a16:creationId xmlns:a16="http://schemas.microsoft.com/office/drawing/2014/main" id="{00000000-0008-0000-0000-0000B405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461" name="Text Box 705">
          <a:extLst>
            <a:ext uri="{FF2B5EF4-FFF2-40B4-BE49-F238E27FC236}">
              <a16:creationId xmlns:a16="http://schemas.microsoft.com/office/drawing/2014/main" id="{00000000-0008-0000-0000-0000B505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462" name="Text Box 706">
          <a:extLst>
            <a:ext uri="{FF2B5EF4-FFF2-40B4-BE49-F238E27FC236}">
              <a16:creationId xmlns:a16="http://schemas.microsoft.com/office/drawing/2014/main" id="{00000000-0008-0000-0000-0000B605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463" name="Text Box 707">
          <a:extLst>
            <a:ext uri="{FF2B5EF4-FFF2-40B4-BE49-F238E27FC236}">
              <a16:creationId xmlns:a16="http://schemas.microsoft.com/office/drawing/2014/main" id="{00000000-0008-0000-0000-0000B705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464" name="Text Box 708">
          <a:extLst>
            <a:ext uri="{FF2B5EF4-FFF2-40B4-BE49-F238E27FC236}">
              <a16:creationId xmlns:a16="http://schemas.microsoft.com/office/drawing/2014/main" id="{00000000-0008-0000-0000-0000B805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465" name="Text Box 709">
          <a:extLst>
            <a:ext uri="{FF2B5EF4-FFF2-40B4-BE49-F238E27FC236}">
              <a16:creationId xmlns:a16="http://schemas.microsoft.com/office/drawing/2014/main" id="{00000000-0008-0000-0000-0000B905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466" name="Text Box 710">
          <a:extLst>
            <a:ext uri="{FF2B5EF4-FFF2-40B4-BE49-F238E27FC236}">
              <a16:creationId xmlns:a16="http://schemas.microsoft.com/office/drawing/2014/main" id="{00000000-0008-0000-0000-0000BA05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467" name="Text Box 711">
          <a:extLst>
            <a:ext uri="{FF2B5EF4-FFF2-40B4-BE49-F238E27FC236}">
              <a16:creationId xmlns:a16="http://schemas.microsoft.com/office/drawing/2014/main" id="{00000000-0008-0000-0000-0000BB05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468" name="Text Box 712">
          <a:extLst>
            <a:ext uri="{FF2B5EF4-FFF2-40B4-BE49-F238E27FC236}">
              <a16:creationId xmlns:a16="http://schemas.microsoft.com/office/drawing/2014/main" id="{00000000-0008-0000-0000-0000BC05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469" name="Text Box 713">
          <a:extLst>
            <a:ext uri="{FF2B5EF4-FFF2-40B4-BE49-F238E27FC236}">
              <a16:creationId xmlns:a16="http://schemas.microsoft.com/office/drawing/2014/main" id="{00000000-0008-0000-0000-0000BD05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470" name="Text Box 714">
          <a:extLst>
            <a:ext uri="{FF2B5EF4-FFF2-40B4-BE49-F238E27FC236}">
              <a16:creationId xmlns:a16="http://schemas.microsoft.com/office/drawing/2014/main" id="{00000000-0008-0000-0000-0000BE05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471" name="Text Box 715">
          <a:extLst>
            <a:ext uri="{FF2B5EF4-FFF2-40B4-BE49-F238E27FC236}">
              <a16:creationId xmlns:a16="http://schemas.microsoft.com/office/drawing/2014/main" id="{00000000-0008-0000-0000-0000BF05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472" name="Text Box 716">
          <a:extLst>
            <a:ext uri="{FF2B5EF4-FFF2-40B4-BE49-F238E27FC236}">
              <a16:creationId xmlns:a16="http://schemas.microsoft.com/office/drawing/2014/main" id="{00000000-0008-0000-0000-0000C005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473" name="Text Box 717">
          <a:extLst>
            <a:ext uri="{FF2B5EF4-FFF2-40B4-BE49-F238E27FC236}">
              <a16:creationId xmlns:a16="http://schemas.microsoft.com/office/drawing/2014/main" id="{00000000-0008-0000-0000-0000C105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474" name="Text Box 718">
          <a:extLst>
            <a:ext uri="{FF2B5EF4-FFF2-40B4-BE49-F238E27FC236}">
              <a16:creationId xmlns:a16="http://schemas.microsoft.com/office/drawing/2014/main" id="{00000000-0008-0000-0000-0000C205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475" name="Text Box 719">
          <a:extLst>
            <a:ext uri="{FF2B5EF4-FFF2-40B4-BE49-F238E27FC236}">
              <a16:creationId xmlns:a16="http://schemas.microsoft.com/office/drawing/2014/main" id="{00000000-0008-0000-0000-0000C305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476" name="Text Box 720">
          <a:extLst>
            <a:ext uri="{FF2B5EF4-FFF2-40B4-BE49-F238E27FC236}">
              <a16:creationId xmlns:a16="http://schemas.microsoft.com/office/drawing/2014/main" id="{00000000-0008-0000-0000-0000C405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477" name="Text Box 721">
          <a:extLst>
            <a:ext uri="{FF2B5EF4-FFF2-40B4-BE49-F238E27FC236}">
              <a16:creationId xmlns:a16="http://schemas.microsoft.com/office/drawing/2014/main" id="{00000000-0008-0000-0000-0000C505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478" name="Text Box 722">
          <a:extLst>
            <a:ext uri="{FF2B5EF4-FFF2-40B4-BE49-F238E27FC236}">
              <a16:creationId xmlns:a16="http://schemas.microsoft.com/office/drawing/2014/main" id="{00000000-0008-0000-0000-0000C605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479" name="Text Box 723">
          <a:extLst>
            <a:ext uri="{FF2B5EF4-FFF2-40B4-BE49-F238E27FC236}">
              <a16:creationId xmlns:a16="http://schemas.microsoft.com/office/drawing/2014/main" id="{00000000-0008-0000-0000-0000C705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480" name="Text Box 724">
          <a:extLst>
            <a:ext uri="{FF2B5EF4-FFF2-40B4-BE49-F238E27FC236}">
              <a16:creationId xmlns:a16="http://schemas.microsoft.com/office/drawing/2014/main" id="{00000000-0008-0000-0000-0000C805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481" name="Text Box 725">
          <a:extLst>
            <a:ext uri="{FF2B5EF4-FFF2-40B4-BE49-F238E27FC236}">
              <a16:creationId xmlns:a16="http://schemas.microsoft.com/office/drawing/2014/main" id="{00000000-0008-0000-0000-0000C905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482" name="Text Box 726">
          <a:extLst>
            <a:ext uri="{FF2B5EF4-FFF2-40B4-BE49-F238E27FC236}">
              <a16:creationId xmlns:a16="http://schemas.microsoft.com/office/drawing/2014/main" id="{00000000-0008-0000-0000-0000CA05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483" name="Text Box 727">
          <a:extLst>
            <a:ext uri="{FF2B5EF4-FFF2-40B4-BE49-F238E27FC236}">
              <a16:creationId xmlns:a16="http://schemas.microsoft.com/office/drawing/2014/main" id="{00000000-0008-0000-0000-0000CB05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484" name="Text Box 728">
          <a:extLst>
            <a:ext uri="{FF2B5EF4-FFF2-40B4-BE49-F238E27FC236}">
              <a16:creationId xmlns:a16="http://schemas.microsoft.com/office/drawing/2014/main" id="{00000000-0008-0000-0000-0000CC05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485" name="Text Box 729">
          <a:extLst>
            <a:ext uri="{FF2B5EF4-FFF2-40B4-BE49-F238E27FC236}">
              <a16:creationId xmlns:a16="http://schemas.microsoft.com/office/drawing/2014/main" id="{00000000-0008-0000-0000-0000CD05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486" name="Text Box 730">
          <a:extLst>
            <a:ext uri="{FF2B5EF4-FFF2-40B4-BE49-F238E27FC236}">
              <a16:creationId xmlns:a16="http://schemas.microsoft.com/office/drawing/2014/main" id="{00000000-0008-0000-0000-0000CE05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487" name="Text Box 731">
          <a:extLst>
            <a:ext uri="{FF2B5EF4-FFF2-40B4-BE49-F238E27FC236}">
              <a16:creationId xmlns:a16="http://schemas.microsoft.com/office/drawing/2014/main" id="{00000000-0008-0000-0000-0000CF05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488" name="Text Box 732">
          <a:extLst>
            <a:ext uri="{FF2B5EF4-FFF2-40B4-BE49-F238E27FC236}">
              <a16:creationId xmlns:a16="http://schemas.microsoft.com/office/drawing/2014/main" id="{00000000-0008-0000-0000-0000D005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489" name="Text Box 733">
          <a:extLst>
            <a:ext uri="{FF2B5EF4-FFF2-40B4-BE49-F238E27FC236}">
              <a16:creationId xmlns:a16="http://schemas.microsoft.com/office/drawing/2014/main" id="{00000000-0008-0000-0000-0000D105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490" name="Text Box 734">
          <a:extLst>
            <a:ext uri="{FF2B5EF4-FFF2-40B4-BE49-F238E27FC236}">
              <a16:creationId xmlns:a16="http://schemas.microsoft.com/office/drawing/2014/main" id="{00000000-0008-0000-0000-0000D205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491" name="Text Box 735">
          <a:extLst>
            <a:ext uri="{FF2B5EF4-FFF2-40B4-BE49-F238E27FC236}">
              <a16:creationId xmlns:a16="http://schemas.microsoft.com/office/drawing/2014/main" id="{00000000-0008-0000-0000-0000D305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492" name="Text Box 736">
          <a:extLst>
            <a:ext uri="{FF2B5EF4-FFF2-40B4-BE49-F238E27FC236}">
              <a16:creationId xmlns:a16="http://schemas.microsoft.com/office/drawing/2014/main" id="{00000000-0008-0000-0000-0000D405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493" name="Text Box 737">
          <a:extLst>
            <a:ext uri="{FF2B5EF4-FFF2-40B4-BE49-F238E27FC236}">
              <a16:creationId xmlns:a16="http://schemas.microsoft.com/office/drawing/2014/main" id="{00000000-0008-0000-0000-0000D505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494" name="Text Box 738">
          <a:extLst>
            <a:ext uri="{FF2B5EF4-FFF2-40B4-BE49-F238E27FC236}">
              <a16:creationId xmlns:a16="http://schemas.microsoft.com/office/drawing/2014/main" id="{00000000-0008-0000-0000-0000D605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495" name="Text Box 739">
          <a:extLst>
            <a:ext uri="{FF2B5EF4-FFF2-40B4-BE49-F238E27FC236}">
              <a16:creationId xmlns:a16="http://schemas.microsoft.com/office/drawing/2014/main" id="{00000000-0008-0000-0000-0000D705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496" name="Text Box 740">
          <a:extLst>
            <a:ext uri="{FF2B5EF4-FFF2-40B4-BE49-F238E27FC236}">
              <a16:creationId xmlns:a16="http://schemas.microsoft.com/office/drawing/2014/main" id="{00000000-0008-0000-0000-0000D805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497" name="Text Box 741">
          <a:extLst>
            <a:ext uri="{FF2B5EF4-FFF2-40B4-BE49-F238E27FC236}">
              <a16:creationId xmlns:a16="http://schemas.microsoft.com/office/drawing/2014/main" id="{00000000-0008-0000-0000-0000D905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498" name="Text Box 742">
          <a:extLst>
            <a:ext uri="{FF2B5EF4-FFF2-40B4-BE49-F238E27FC236}">
              <a16:creationId xmlns:a16="http://schemas.microsoft.com/office/drawing/2014/main" id="{00000000-0008-0000-0000-0000DA05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499" name="Text Box 743">
          <a:extLst>
            <a:ext uri="{FF2B5EF4-FFF2-40B4-BE49-F238E27FC236}">
              <a16:creationId xmlns:a16="http://schemas.microsoft.com/office/drawing/2014/main" id="{00000000-0008-0000-0000-0000DB05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00" name="Text Box 744">
          <a:extLst>
            <a:ext uri="{FF2B5EF4-FFF2-40B4-BE49-F238E27FC236}">
              <a16:creationId xmlns:a16="http://schemas.microsoft.com/office/drawing/2014/main" id="{00000000-0008-0000-0000-0000DC05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01" name="Text Box 745">
          <a:extLst>
            <a:ext uri="{FF2B5EF4-FFF2-40B4-BE49-F238E27FC236}">
              <a16:creationId xmlns:a16="http://schemas.microsoft.com/office/drawing/2014/main" id="{00000000-0008-0000-0000-0000DD05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02" name="Text Box 746">
          <a:extLst>
            <a:ext uri="{FF2B5EF4-FFF2-40B4-BE49-F238E27FC236}">
              <a16:creationId xmlns:a16="http://schemas.microsoft.com/office/drawing/2014/main" id="{00000000-0008-0000-0000-0000DE05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03" name="Text Box 747">
          <a:extLst>
            <a:ext uri="{FF2B5EF4-FFF2-40B4-BE49-F238E27FC236}">
              <a16:creationId xmlns:a16="http://schemas.microsoft.com/office/drawing/2014/main" id="{00000000-0008-0000-0000-0000DF05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04" name="Text Box 748">
          <a:extLst>
            <a:ext uri="{FF2B5EF4-FFF2-40B4-BE49-F238E27FC236}">
              <a16:creationId xmlns:a16="http://schemas.microsoft.com/office/drawing/2014/main" id="{00000000-0008-0000-0000-0000E005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05" name="Text Box 749">
          <a:extLst>
            <a:ext uri="{FF2B5EF4-FFF2-40B4-BE49-F238E27FC236}">
              <a16:creationId xmlns:a16="http://schemas.microsoft.com/office/drawing/2014/main" id="{00000000-0008-0000-0000-0000E105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06" name="Text Box 750">
          <a:extLst>
            <a:ext uri="{FF2B5EF4-FFF2-40B4-BE49-F238E27FC236}">
              <a16:creationId xmlns:a16="http://schemas.microsoft.com/office/drawing/2014/main" id="{00000000-0008-0000-0000-0000E205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07" name="Text Box 751">
          <a:extLst>
            <a:ext uri="{FF2B5EF4-FFF2-40B4-BE49-F238E27FC236}">
              <a16:creationId xmlns:a16="http://schemas.microsoft.com/office/drawing/2014/main" id="{00000000-0008-0000-0000-0000E305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08" name="Text Box 752">
          <a:extLst>
            <a:ext uri="{FF2B5EF4-FFF2-40B4-BE49-F238E27FC236}">
              <a16:creationId xmlns:a16="http://schemas.microsoft.com/office/drawing/2014/main" id="{00000000-0008-0000-0000-0000E405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09" name="Text Box 753">
          <a:extLst>
            <a:ext uri="{FF2B5EF4-FFF2-40B4-BE49-F238E27FC236}">
              <a16:creationId xmlns:a16="http://schemas.microsoft.com/office/drawing/2014/main" id="{00000000-0008-0000-0000-0000E505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10" name="Text Box 754">
          <a:extLst>
            <a:ext uri="{FF2B5EF4-FFF2-40B4-BE49-F238E27FC236}">
              <a16:creationId xmlns:a16="http://schemas.microsoft.com/office/drawing/2014/main" id="{00000000-0008-0000-0000-0000E605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11" name="Text Box 755">
          <a:extLst>
            <a:ext uri="{FF2B5EF4-FFF2-40B4-BE49-F238E27FC236}">
              <a16:creationId xmlns:a16="http://schemas.microsoft.com/office/drawing/2014/main" id="{00000000-0008-0000-0000-0000E705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12" name="Text Box 756">
          <a:extLst>
            <a:ext uri="{FF2B5EF4-FFF2-40B4-BE49-F238E27FC236}">
              <a16:creationId xmlns:a16="http://schemas.microsoft.com/office/drawing/2014/main" id="{00000000-0008-0000-0000-0000E805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13" name="Text Box 757">
          <a:extLst>
            <a:ext uri="{FF2B5EF4-FFF2-40B4-BE49-F238E27FC236}">
              <a16:creationId xmlns:a16="http://schemas.microsoft.com/office/drawing/2014/main" id="{00000000-0008-0000-0000-0000E905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14" name="Text Box 758">
          <a:extLst>
            <a:ext uri="{FF2B5EF4-FFF2-40B4-BE49-F238E27FC236}">
              <a16:creationId xmlns:a16="http://schemas.microsoft.com/office/drawing/2014/main" id="{00000000-0008-0000-0000-0000EA05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15" name="Text Box 759">
          <a:extLst>
            <a:ext uri="{FF2B5EF4-FFF2-40B4-BE49-F238E27FC236}">
              <a16:creationId xmlns:a16="http://schemas.microsoft.com/office/drawing/2014/main" id="{00000000-0008-0000-0000-0000EB05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16" name="Text Box 760">
          <a:extLst>
            <a:ext uri="{FF2B5EF4-FFF2-40B4-BE49-F238E27FC236}">
              <a16:creationId xmlns:a16="http://schemas.microsoft.com/office/drawing/2014/main" id="{00000000-0008-0000-0000-0000EC05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17" name="Text Box 761">
          <a:extLst>
            <a:ext uri="{FF2B5EF4-FFF2-40B4-BE49-F238E27FC236}">
              <a16:creationId xmlns:a16="http://schemas.microsoft.com/office/drawing/2014/main" id="{00000000-0008-0000-0000-0000ED05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18" name="Text Box 762">
          <a:extLst>
            <a:ext uri="{FF2B5EF4-FFF2-40B4-BE49-F238E27FC236}">
              <a16:creationId xmlns:a16="http://schemas.microsoft.com/office/drawing/2014/main" id="{00000000-0008-0000-0000-0000EE05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19" name="Text Box 763">
          <a:extLst>
            <a:ext uri="{FF2B5EF4-FFF2-40B4-BE49-F238E27FC236}">
              <a16:creationId xmlns:a16="http://schemas.microsoft.com/office/drawing/2014/main" id="{00000000-0008-0000-0000-0000EF05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20" name="Text Box 764">
          <a:extLst>
            <a:ext uri="{FF2B5EF4-FFF2-40B4-BE49-F238E27FC236}">
              <a16:creationId xmlns:a16="http://schemas.microsoft.com/office/drawing/2014/main" id="{00000000-0008-0000-0000-0000F005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21" name="Text Box 765">
          <a:extLst>
            <a:ext uri="{FF2B5EF4-FFF2-40B4-BE49-F238E27FC236}">
              <a16:creationId xmlns:a16="http://schemas.microsoft.com/office/drawing/2014/main" id="{00000000-0008-0000-0000-0000F105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22" name="Text Box 766">
          <a:extLst>
            <a:ext uri="{FF2B5EF4-FFF2-40B4-BE49-F238E27FC236}">
              <a16:creationId xmlns:a16="http://schemas.microsoft.com/office/drawing/2014/main" id="{00000000-0008-0000-0000-0000F205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23" name="Text Box 767">
          <a:extLst>
            <a:ext uri="{FF2B5EF4-FFF2-40B4-BE49-F238E27FC236}">
              <a16:creationId xmlns:a16="http://schemas.microsoft.com/office/drawing/2014/main" id="{00000000-0008-0000-0000-0000F305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24" name="Text Box 768">
          <a:extLst>
            <a:ext uri="{FF2B5EF4-FFF2-40B4-BE49-F238E27FC236}">
              <a16:creationId xmlns:a16="http://schemas.microsoft.com/office/drawing/2014/main" id="{00000000-0008-0000-0000-0000F405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25" name="Text Box 769">
          <a:extLst>
            <a:ext uri="{FF2B5EF4-FFF2-40B4-BE49-F238E27FC236}">
              <a16:creationId xmlns:a16="http://schemas.microsoft.com/office/drawing/2014/main" id="{00000000-0008-0000-0000-0000F505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26" name="Text Box 770">
          <a:extLst>
            <a:ext uri="{FF2B5EF4-FFF2-40B4-BE49-F238E27FC236}">
              <a16:creationId xmlns:a16="http://schemas.microsoft.com/office/drawing/2014/main" id="{00000000-0008-0000-0000-0000F605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27" name="Text Box 771">
          <a:extLst>
            <a:ext uri="{FF2B5EF4-FFF2-40B4-BE49-F238E27FC236}">
              <a16:creationId xmlns:a16="http://schemas.microsoft.com/office/drawing/2014/main" id="{00000000-0008-0000-0000-0000F705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28" name="Text Box 772">
          <a:extLst>
            <a:ext uri="{FF2B5EF4-FFF2-40B4-BE49-F238E27FC236}">
              <a16:creationId xmlns:a16="http://schemas.microsoft.com/office/drawing/2014/main" id="{00000000-0008-0000-0000-0000F805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29" name="Text Box 773">
          <a:extLst>
            <a:ext uri="{FF2B5EF4-FFF2-40B4-BE49-F238E27FC236}">
              <a16:creationId xmlns:a16="http://schemas.microsoft.com/office/drawing/2014/main" id="{00000000-0008-0000-0000-0000F905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30" name="Text Box 774">
          <a:extLst>
            <a:ext uri="{FF2B5EF4-FFF2-40B4-BE49-F238E27FC236}">
              <a16:creationId xmlns:a16="http://schemas.microsoft.com/office/drawing/2014/main" id="{00000000-0008-0000-0000-0000FA05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31" name="Text Box 775">
          <a:extLst>
            <a:ext uri="{FF2B5EF4-FFF2-40B4-BE49-F238E27FC236}">
              <a16:creationId xmlns:a16="http://schemas.microsoft.com/office/drawing/2014/main" id="{00000000-0008-0000-0000-0000FB05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32" name="Text Box 776">
          <a:extLst>
            <a:ext uri="{FF2B5EF4-FFF2-40B4-BE49-F238E27FC236}">
              <a16:creationId xmlns:a16="http://schemas.microsoft.com/office/drawing/2014/main" id="{00000000-0008-0000-0000-0000FC05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33" name="Text Box 777">
          <a:extLst>
            <a:ext uri="{FF2B5EF4-FFF2-40B4-BE49-F238E27FC236}">
              <a16:creationId xmlns:a16="http://schemas.microsoft.com/office/drawing/2014/main" id="{00000000-0008-0000-0000-0000FD05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34" name="Text Box 693">
          <a:extLst>
            <a:ext uri="{FF2B5EF4-FFF2-40B4-BE49-F238E27FC236}">
              <a16:creationId xmlns:a16="http://schemas.microsoft.com/office/drawing/2014/main" id="{00000000-0008-0000-0000-0000FE05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35" name="Text Box 694">
          <a:extLst>
            <a:ext uri="{FF2B5EF4-FFF2-40B4-BE49-F238E27FC236}">
              <a16:creationId xmlns:a16="http://schemas.microsoft.com/office/drawing/2014/main" id="{00000000-0008-0000-0000-0000FF05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36" name="Text Box 695">
          <a:extLst>
            <a:ext uri="{FF2B5EF4-FFF2-40B4-BE49-F238E27FC236}">
              <a16:creationId xmlns:a16="http://schemas.microsoft.com/office/drawing/2014/main" id="{00000000-0008-0000-0000-00000006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37" name="Text Box 696">
          <a:extLst>
            <a:ext uri="{FF2B5EF4-FFF2-40B4-BE49-F238E27FC236}">
              <a16:creationId xmlns:a16="http://schemas.microsoft.com/office/drawing/2014/main" id="{00000000-0008-0000-0000-00000106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38" name="Text Box 697">
          <a:extLst>
            <a:ext uri="{FF2B5EF4-FFF2-40B4-BE49-F238E27FC236}">
              <a16:creationId xmlns:a16="http://schemas.microsoft.com/office/drawing/2014/main" id="{00000000-0008-0000-0000-00000206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39" name="Text Box 698">
          <a:extLst>
            <a:ext uri="{FF2B5EF4-FFF2-40B4-BE49-F238E27FC236}">
              <a16:creationId xmlns:a16="http://schemas.microsoft.com/office/drawing/2014/main" id="{00000000-0008-0000-0000-00000306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40" name="Text Box 699">
          <a:extLst>
            <a:ext uri="{FF2B5EF4-FFF2-40B4-BE49-F238E27FC236}">
              <a16:creationId xmlns:a16="http://schemas.microsoft.com/office/drawing/2014/main" id="{00000000-0008-0000-0000-00000406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41" name="Text Box 700">
          <a:extLst>
            <a:ext uri="{FF2B5EF4-FFF2-40B4-BE49-F238E27FC236}">
              <a16:creationId xmlns:a16="http://schemas.microsoft.com/office/drawing/2014/main" id="{00000000-0008-0000-0000-00000506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42" name="Text Box 701">
          <a:extLst>
            <a:ext uri="{FF2B5EF4-FFF2-40B4-BE49-F238E27FC236}">
              <a16:creationId xmlns:a16="http://schemas.microsoft.com/office/drawing/2014/main" id="{00000000-0008-0000-0000-00000606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43" name="Text Box 702">
          <a:extLst>
            <a:ext uri="{FF2B5EF4-FFF2-40B4-BE49-F238E27FC236}">
              <a16:creationId xmlns:a16="http://schemas.microsoft.com/office/drawing/2014/main" id="{00000000-0008-0000-0000-00000706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44" name="Text Box 703">
          <a:extLst>
            <a:ext uri="{FF2B5EF4-FFF2-40B4-BE49-F238E27FC236}">
              <a16:creationId xmlns:a16="http://schemas.microsoft.com/office/drawing/2014/main" id="{00000000-0008-0000-0000-00000806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45" name="Text Box 704">
          <a:extLst>
            <a:ext uri="{FF2B5EF4-FFF2-40B4-BE49-F238E27FC236}">
              <a16:creationId xmlns:a16="http://schemas.microsoft.com/office/drawing/2014/main" id="{00000000-0008-0000-0000-00000906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46" name="Text Box 705">
          <a:extLst>
            <a:ext uri="{FF2B5EF4-FFF2-40B4-BE49-F238E27FC236}">
              <a16:creationId xmlns:a16="http://schemas.microsoft.com/office/drawing/2014/main" id="{00000000-0008-0000-0000-00000A06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47" name="Text Box 706">
          <a:extLst>
            <a:ext uri="{FF2B5EF4-FFF2-40B4-BE49-F238E27FC236}">
              <a16:creationId xmlns:a16="http://schemas.microsoft.com/office/drawing/2014/main" id="{00000000-0008-0000-0000-00000B06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48" name="Text Box 707">
          <a:extLst>
            <a:ext uri="{FF2B5EF4-FFF2-40B4-BE49-F238E27FC236}">
              <a16:creationId xmlns:a16="http://schemas.microsoft.com/office/drawing/2014/main" id="{00000000-0008-0000-0000-00000C06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49" name="Text Box 708">
          <a:extLst>
            <a:ext uri="{FF2B5EF4-FFF2-40B4-BE49-F238E27FC236}">
              <a16:creationId xmlns:a16="http://schemas.microsoft.com/office/drawing/2014/main" id="{00000000-0008-0000-0000-00000D06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50" name="Text Box 709">
          <a:extLst>
            <a:ext uri="{FF2B5EF4-FFF2-40B4-BE49-F238E27FC236}">
              <a16:creationId xmlns:a16="http://schemas.microsoft.com/office/drawing/2014/main" id="{00000000-0008-0000-0000-00000E06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51" name="Text Box 710">
          <a:extLst>
            <a:ext uri="{FF2B5EF4-FFF2-40B4-BE49-F238E27FC236}">
              <a16:creationId xmlns:a16="http://schemas.microsoft.com/office/drawing/2014/main" id="{00000000-0008-0000-0000-00000F06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52" name="Text Box 711">
          <a:extLst>
            <a:ext uri="{FF2B5EF4-FFF2-40B4-BE49-F238E27FC236}">
              <a16:creationId xmlns:a16="http://schemas.microsoft.com/office/drawing/2014/main" id="{00000000-0008-0000-0000-00001006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53" name="Text Box 712">
          <a:extLst>
            <a:ext uri="{FF2B5EF4-FFF2-40B4-BE49-F238E27FC236}">
              <a16:creationId xmlns:a16="http://schemas.microsoft.com/office/drawing/2014/main" id="{00000000-0008-0000-0000-00001106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54" name="Text Box 713">
          <a:extLst>
            <a:ext uri="{FF2B5EF4-FFF2-40B4-BE49-F238E27FC236}">
              <a16:creationId xmlns:a16="http://schemas.microsoft.com/office/drawing/2014/main" id="{00000000-0008-0000-0000-00001206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55" name="Text Box 714">
          <a:extLst>
            <a:ext uri="{FF2B5EF4-FFF2-40B4-BE49-F238E27FC236}">
              <a16:creationId xmlns:a16="http://schemas.microsoft.com/office/drawing/2014/main" id="{00000000-0008-0000-0000-00001306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56" name="Text Box 715">
          <a:extLst>
            <a:ext uri="{FF2B5EF4-FFF2-40B4-BE49-F238E27FC236}">
              <a16:creationId xmlns:a16="http://schemas.microsoft.com/office/drawing/2014/main" id="{00000000-0008-0000-0000-00001406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57" name="Text Box 716">
          <a:extLst>
            <a:ext uri="{FF2B5EF4-FFF2-40B4-BE49-F238E27FC236}">
              <a16:creationId xmlns:a16="http://schemas.microsoft.com/office/drawing/2014/main" id="{00000000-0008-0000-0000-00001506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58" name="Text Box 717">
          <a:extLst>
            <a:ext uri="{FF2B5EF4-FFF2-40B4-BE49-F238E27FC236}">
              <a16:creationId xmlns:a16="http://schemas.microsoft.com/office/drawing/2014/main" id="{00000000-0008-0000-0000-00001606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59" name="Text Box 718">
          <a:extLst>
            <a:ext uri="{FF2B5EF4-FFF2-40B4-BE49-F238E27FC236}">
              <a16:creationId xmlns:a16="http://schemas.microsoft.com/office/drawing/2014/main" id="{00000000-0008-0000-0000-00001706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60" name="Text Box 719">
          <a:extLst>
            <a:ext uri="{FF2B5EF4-FFF2-40B4-BE49-F238E27FC236}">
              <a16:creationId xmlns:a16="http://schemas.microsoft.com/office/drawing/2014/main" id="{00000000-0008-0000-0000-00001806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61" name="Text Box 720">
          <a:extLst>
            <a:ext uri="{FF2B5EF4-FFF2-40B4-BE49-F238E27FC236}">
              <a16:creationId xmlns:a16="http://schemas.microsoft.com/office/drawing/2014/main" id="{00000000-0008-0000-0000-00001906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62" name="Text Box 721">
          <a:extLst>
            <a:ext uri="{FF2B5EF4-FFF2-40B4-BE49-F238E27FC236}">
              <a16:creationId xmlns:a16="http://schemas.microsoft.com/office/drawing/2014/main" id="{00000000-0008-0000-0000-00001A06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63" name="Text Box 722">
          <a:extLst>
            <a:ext uri="{FF2B5EF4-FFF2-40B4-BE49-F238E27FC236}">
              <a16:creationId xmlns:a16="http://schemas.microsoft.com/office/drawing/2014/main" id="{00000000-0008-0000-0000-00001B06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64" name="Text Box 723">
          <a:extLst>
            <a:ext uri="{FF2B5EF4-FFF2-40B4-BE49-F238E27FC236}">
              <a16:creationId xmlns:a16="http://schemas.microsoft.com/office/drawing/2014/main" id="{00000000-0008-0000-0000-00001C06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65" name="Text Box 724">
          <a:extLst>
            <a:ext uri="{FF2B5EF4-FFF2-40B4-BE49-F238E27FC236}">
              <a16:creationId xmlns:a16="http://schemas.microsoft.com/office/drawing/2014/main" id="{00000000-0008-0000-0000-00001D06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66" name="Text Box 725">
          <a:extLst>
            <a:ext uri="{FF2B5EF4-FFF2-40B4-BE49-F238E27FC236}">
              <a16:creationId xmlns:a16="http://schemas.microsoft.com/office/drawing/2014/main" id="{00000000-0008-0000-0000-00001E06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67" name="Text Box 726">
          <a:extLst>
            <a:ext uri="{FF2B5EF4-FFF2-40B4-BE49-F238E27FC236}">
              <a16:creationId xmlns:a16="http://schemas.microsoft.com/office/drawing/2014/main" id="{00000000-0008-0000-0000-00001F06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68" name="Text Box 727">
          <a:extLst>
            <a:ext uri="{FF2B5EF4-FFF2-40B4-BE49-F238E27FC236}">
              <a16:creationId xmlns:a16="http://schemas.microsoft.com/office/drawing/2014/main" id="{00000000-0008-0000-0000-00002006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69" name="Text Box 728">
          <a:extLst>
            <a:ext uri="{FF2B5EF4-FFF2-40B4-BE49-F238E27FC236}">
              <a16:creationId xmlns:a16="http://schemas.microsoft.com/office/drawing/2014/main" id="{00000000-0008-0000-0000-00002106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70" name="Text Box 729">
          <a:extLst>
            <a:ext uri="{FF2B5EF4-FFF2-40B4-BE49-F238E27FC236}">
              <a16:creationId xmlns:a16="http://schemas.microsoft.com/office/drawing/2014/main" id="{00000000-0008-0000-0000-00002206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71" name="Text Box 730">
          <a:extLst>
            <a:ext uri="{FF2B5EF4-FFF2-40B4-BE49-F238E27FC236}">
              <a16:creationId xmlns:a16="http://schemas.microsoft.com/office/drawing/2014/main" id="{00000000-0008-0000-0000-00002306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72" name="Text Box 731">
          <a:extLst>
            <a:ext uri="{FF2B5EF4-FFF2-40B4-BE49-F238E27FC236}">
              <a16:creationId xmlns:a16="http://schemas.microsoft.com/office/drawing/2014/main" id="{00000000-0008-0000-0000-00002406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73" name="Text Box 732">
          <a:extLst>
            <a:ext uri="{FF2B5EF4-FFF2-40B4-BE49-F238E27FC236}">
              <a16:creationId xmlns:a16="http://schemas.microsoft.com/office/drawing/2014/main" id="{00000000-0008-0000-0000-00002506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74" name="Text Box 733">
          <a:extLst>
            <a:ext uri="{FF2B5EF4-FFF2-40B4-BE49-F238E27FC236}">
              <a16:creationId xmlns:a16="http://schemas.microsoft.com/office/drawing/2014/main" id="{00000000-0008-0000-0000-00002606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75" name="Text Box 734">
          <a:extLst>
            <a:ext uri="{FF2B5EF4-FFF2-40B4-BE49-F238E27FC236}">
              <a16:creationId xmlns:a16="http://schemas.microsoft.com/office/drawing/2014/main" id="{00000000-0008-0000-0000-00002706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76" name="Text Box 735">
          <a:extLst>
            <a:ext uri="{FF2B5EF4-FFF2-40B4-BE49-F238E27FC236}">
              <a16:creationId xmlns:a16="http://schemas.microsoft.com/office/drawing/2014/main" id="{00000000-0008-0000-0000-00002806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77" name="Text Box 736">
          <a:extLst>
            <a:ext uri="{FF2B5EF4-FFF2-40B4-BE49-F238E27FC236}">
              <a16:creationId xmlns:a16="http://schemas.microsoft.com/office/drawing/2014/main" id="{00000000-0008-0000-0000-00002906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78" name="Text Box 737">
          <a:extLst>
            <a:ext uri="{FF2B5EF4-FFF2-40B4-BE49-F238E27FC236}">
              <a16:creationId xmlns:a16="http://schemas.microsoft.com/office/drawing/2014/main" id="{00000000-0008-0000-0000-00002A06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79" name="Text Box 738">
          <a:extLst>
            <a:ext uri="{FF2B5EF4-FFF2-40B4-BE49-F238E27FC236}">
              <a16:creationId xmlns:a16="http://schemas.microsoft.com/office/drawing/2014/main" id="{00000000-0008-0000-0000-00002B06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80" name="Text Box 739">
          <a:extLst>
            <a:ext uri="{FF2B5EF4-FFF2-40B4-BE49-F238E27FC236}">
              <a16:creationId xmlns:a16="http://schemas.microsoft.com/office/drawing/2014/main" id="{00000000-0008-0000-0000-00002C06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81" name="Text Box 740">
          <a:extLst>
            <a:ext uri="{FF2B5EF4-FFF2-40B4-BE49-F238E27FC236}">
              <a16:creationId xmlns:a16="http://schemas.microsoft.com/office/drawing/2014/main" id="{00000000-0008-0000-0000-00002D06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82" name="Text Box 741">
          <a:extLst>
            <a:ext uri="{FF2B5EF4-FFF2-40B4-BE49-F238E27FC236}">
              <a16:creationId xmlns:a16="http://schemas.microsoft.com/office/drawing/2014/main" id="{00000000-0008-0000-0000-00002E06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83" name="Text Box 742">
          <a:extLst>
            <a:ext uri="{FF2B5EF4-FFF2-40B4-BE49-F238E27FC236}">
              <a16:creationId xmlns:a16="http://schemas.microsoft.com/office/drawing/2014/main" id="{00000000-0008-0000-0000-00002F06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84" name="Text Box 743">
          <a:extLst>
            <a:ext uri="{FF2B5EF4-FFF2-40B4-BE49-F238E27FC236}">
              <a16:creationId xmlns:a16="http://schemas.microsoft.com/office/drawing/2014/main" id="{00000000-0008-0000-0000-00003006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85" name="Text Box 744">
          <a:extLst>
            <a:ext uri="{FF2B5EF4-FFF2-40B4-BE49-F238E27FC236}">
              <a16:creationId xmlns:a16="http://schemas.microsoft.com/office/drawing/2014/main" id="{00000000-0008-0000-0000-00003106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86" name="Text Box 745">
          <a:extLst>
            <a:ext uri="{FF2B5EF4-FFF2-40B4-BE49-F238E27FC236}">
              <a16:creationId xmlns:a16="http://schemas.microsoft.com/office/drawing/2014/main" id="{00000000-0008-0000-0000-00003206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87" name="Text Box 746">
          <a:extLst>
            <a:ext uri="{FF2B5EF4-FFF2-40B4-BE49-F238E27FC236}">
              <a16:creationId xmlns:a16="http://schemas.microsoft.com/office/drawing/2014/main" id="{00000000-0008-0000-0000-00003306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88" name="Text Box 747">
          <a:extLst>
            <a:ext uri="{FF2B5EF4-FFF2-40B4-BE49-F238E27FC236}">
              <a16:creationId xmlns:a16="http://schemas.microsoft.com/office/drawing/2014/main" id="{00000000-0008-0000-0000-00003406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89" name="Text Box 748">
          <a:extLst>
            <a:ext uri="{FF2B5EF4-FFF2-40B4-BE49-F238E27FC236}">
              <a16:creationId xmlns:a16="http://schemas.microsoft.com/office/drawing/2014/main" id="{00000000-0008-0000-0000-00003506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90" name="Text Box 749">
          <a:extLst>
            <a:ext uri="{FF2B5EF4-FFF2-40B4-BE49-F238E27FC236}">
              <a16:creationId xmlns:a16="http://schemas.microsoft.com/office/drawing/2014/main" id="{00000000-0008-0000-0000-00003606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91" name="Text Box 750">
          <a:extLst>
            <a:ext uri="{FF2B5EF4-FFF2-40B4-BE49-F238E27FC236}">
              <a16:creationId xmlns:a16="http://schemas.microsoft.com/office/drawing/2014/main" id="{00000000-0008-0000-0000-00003706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92" name="Text Box 751">
          <a:extLst>
            <a:ext uri="{FF2B5EF4-FFF2-40B4-BE49-F238E27FC236}">
              <a16:creationId xmlns:a16="http://schemas.microsoft.com/office/drawing/2014/main" id="{00000000-0008-0000-0000-00003806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93" name="Text Box 752">
          <a:extLst>
            <a:ext uri="{FF2B5EF4-FFF2-40B4-BE49-F238E27FC236}">
              <a16:creationId xmlns:a16="http://schemas.microsoft.com/office/drawing/2014/main" id="{00000000-0008-0000-0000-00003906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94" name="Text Box 753">
          <a:extLst>
            <a:ext uri="{FF2B5EF4-FFF2-40B4-BE49-F238E27FC236}">
              <a16:creationId xmlns:a16="http://schemas.microsoft.com/office/drawing/2014/main" id="{00000000-0008-0000-0000-00003A06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95" name="Text Box 754">
          <a:extLst>
            <a:ext uri="{FF2B5EF4-FFF2-40B4-BE49-F238E27FC236}">
              <a16:creationId xmlns:a16="http://schemas.microsoft.com/office/drawing/2014/main" id="{00000000-0008-0000-0000-00003B06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96" name="Text Box 755">
          <a:extLst>
            <a:ext uri="{FF2B5EF4-FFF2-40B4-BE49-F238E27FC236}">
              <a16:creationId xmlns:a16="http://schemas.microsoft.com/office/drawing/2014/main" id="{00000000-0008-0000-0000-00003C06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97" name="Text Box 756">
          <a:extLst>
            <a:ext uri="{FF2B5EF4-FFF2-40B4-BE49-F238E27FC236}">
              <a16:creationId xmlns:a16="http://schemas.microsoft.com/office/drawing/2014/main" id="{00000000-0008-0000-0000-00003D06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98" name="Text Box 757">
          <a:extLst>
            <a:ext uri="{FF2B5EF4-FFF2-40B4-BE49-F238E27FC236}">
              <a16:creationId xmlns:a16="http://schemas.microsoft.com/office/drawing/2014/main" id="{00000000-0008-0000-0000-00003E06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599" name="Text Box 758">
          <a:extLst>
            <a:ext uri="{FF2B5EF4-FFF2-40B4-BE49-F238E27FC236}">
              <a16:creationId xmlns:a16="http://schemas.microsoft.com/office/drawing/2014/main" id="{00000000-0008-0000-0000-00003F06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600" name="Text Box 759">
          <a:extLst>
            <a:ext uri="{FF2B5EF4-FFF2-40B4-BE49-F238E27FC236}">
              <a16:creationId xmlns:a16="http://schemas.microsoft.com/office/drawing/2014/main" id="{00000000-0008-0000-0000-00004006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601" name="Text Box 760">
          <a:extLst>
            <a:ext uri="{FF2B5EF4-FFF2-40B4-BE49-F238E27FC236}">
              <a16:creationId xmlns:a16="http://schemas.microsoft.com/office/drawing/2014/main" id="{00000000-0008-0000-0000-00004106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602" name="Text Box 761">
          <a:extLst>
            <a:ext uri="{FF2B5EF4-FFF2-40B4-BE49-F238E27FC236}">
              <a16:creationId xmlns:a16="http://schemas.microsoft.com/office/drawing/2014/main" id="{00000000-0008-0000-0000-00004206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603" name="Text Box 762">
          <a:extLst>
            <a:ext uri="{FF2B5EF4-FFF2-40B4-BE49-F238E27FC236}">
              <a16:creationId xmlns:a16="http://schemas.microsoft.com/office/drawing/2014/main" id="{00000000-0008-0000-0000-00004306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604" name="Text Box 763">
          <a:extLst>
            <a:ext uri="{FF2B5EF4-FFF2-40B4-BE49-F238E27FC236}">
              <a16:creationId xmlns:a16="http://schemas.microsoft.com/office/drawing/2014/main" id="{00000000-0008-0000-0000-00004406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605" name="Text Box 764">
          <a:extLst>
            <a:ext uri="{FF2B5EF4-FFF2-40B4-BE49-F238E27FC236}">
              <a16:creationId xmlns:a16="http://schemas.microsoft.com/office/drawing/2014/main" id="{00000000-0008-0000-0000-00004506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606" name="Text Box 765">
          <a:extLst>
            <a:ext uri="{FF2B5EF4-FFF2-40B4-BE49-F238E27FC236}">
              <a16:creationId xmlns:a16="http://schemas.microsoft.com/office/drawing/2014/main" id="{00000000-0008-0000-0000-00004606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607" name="Text Box 766">
          <a:extLst>
            <a:ext uri="{FF2B5EF4-FFF2-40B4-BE49-F238E27FC236}">
              <a16:creationId xmlns:a16="http://schemas.microsoft.com/office/drawing/2014/main" id="{00000000-0008-0000-0000-00004706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608" name="Text Box 767">
          <a:extLst>
            <a:ext uri="{FF2B5EF4-FFF2-40B4-BE49-F238E27FC236}">
              <a16:creationId xmlns:a16="http://schemas.microsoft.com/office/drawing/2014/main" id="{00000000-0008-0000-0000-00004806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609" name="Text Box 768">
          <a:extLst>
            <a:ext uri="{FF2B5EF4-FFF2-40B4-BE49-F238E27FC236}">
              <a16:creationId xmlns:a16="http://schemas.microsoft.com/office/drawing/2014/main" id="{00000000-0008-0000-0000-00004906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610" name="Text Box 769">
          <a:extLst>
            <a:ext uri="{FF2B5EF4-FFF2-40B4-BE49-F238E27FC236}">
              <a16:creationId xmlns:a16="http://schemas.microsoft.com/office/drawing/2014/main" id="{00000000-0008-0000-0000-00004A06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611" name="Text Box 770">
          <a:extLst>
            <a:ext uri="{FF2B5EF4-FFF2-40B4-BE49-F238E27FC236}">
              <a16:creationId xmlns:a16="http://schemas.microsoft.com/office/drawing/2014/main" id="{00000000-0008-0000-0000-00004B06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612" name="Text Box 771">
          <a:extLst>
            <a:ext uri="{FF2B5EF4-FFF2-40B4-BE49-F238E27FC236}">
              <a16:creationId xmlns:a16="http://schemas.microsoft.com/office/drawing/2014/main" id="{00000000-0008-0000-0000-00004C06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613" name="Text Box 772">
          <a:extLst>
            <a:ext uri="{FF2B5EF4-FFF2-40B4-BE49-F238E27FC236}">
              <a16:creationId xmlns:a16="http://schemas.microsoft.com/office/drawing/2014/main" id="{00000000-0008-0000-0000-00004D06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614" name="Text Box 773">
          <a:extLst>
            <a:ext uri="{FF2B5EF4-FFF2-40B4-BE49-F238E27FC236}">
              <a16:creationId xmlns:a16="http://schemas.microsoft.com/office/drawing/2014/main" id="{00000000-0008-0000-0000-00004E06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615" name="Text Box 774">
          <a:extLst>
            <a:ext uri="{FF2B5EF4-FFF2-40B4-BE49-F238E27FC236}">
              <a16:creationId xmlns:a16="http://schemas.microsoft.com/office/drawing/2014/main" id="{00000000-0008-0000-0000-00004F06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616" name="Text Box 775">
          <a:extLst>
            <a:ext uri="{FF2B5EF4-FFF2-40B4-BE49-F238E27FC236}">
              <a16:creationId xmlns:a16="http://schemas.microsoft.com/office/drawing/2014/main" id="{00000000-0008-0000-0000-00005006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617" name="Text Box 776">
          <a:extLst>
            <a:ext uri="{FF2B5EF4-FFF2-40B4-BE49-F238E27FC236}">
              <a16:creationId xmlns:a16="http://schemas.microsoft.com/office/drawing/2014/main" id="{00000000-0008-0000-0000-00005106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1618" name="Text Box 777">
          <a:extLst>
            <a:ext uri="{FF2B5EF4-FFF2-40B4-BE49-F238E27FC236}">
              <a16:creationId xmlns:a16="http://schemas.microsoft.com/office/drawing/2014/main" id="{00000000-0008-0000-0000-000052060000}"/>
            </a:ext>
          </a:extLst>
        </xdr:cNvPr>
        <xdr:cNvSpPr>
          <a:spLocks noChangeArrowheads="1"/>
        </xdr:cNvSpPr>
      </xdr:nvSpPr>
      <xdr:spPr bwMode="auto">
        <a:xfrm>
          <a:off x="49872900" y="23907750"/>
          <a:ext cx="12668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1959" name="Text Box 693">
          <a:extLst>
            <a:ext uri="{FF2B5EF4-FFF2-40B4-BE49-F238E27FC236}">
              <a16:creationId xmlns:a16="http://schemas.microsoft.com/office/drawing/2014/main" id="{00000000-0008-0000-0000-0000A707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1960" name="Text Box 694">
          <a:extLst>
            <a:ext uri="{FF2B5EF4-FFF2-40B4-BE49-F238E27FC236}">
              <a16:creationId xmlns:a16="http://schemas.microsoft.com/office/drawing/2014/main" id="{00000000-0008-0000-0000-0000A807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1961" name="Text Box 695">
          <a:extLst>
            <a:ext uri="{FF2B5EF4-FFF2-40B4-BE49-F238E27FC236}">
              <a16:creationId xmlns:a16="http://schemas.microsoft.com/office/drawing/2014/main" id="{00000000-0008-0000-0000-0000A907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1962" name="Text Box 696">
          <a:extLst>
            <a:ext uri="{FF2B5EF4-FFF2-40B4-BE49-F238E27FC236}">
              <a16:creationId xmlns:a16="http://schemas.microsoft.com/office/drawing/2014/main" id="{00000000-0008-0000-0000-0000AA07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1963" name="Text Box 697">
          <a:extLst>
            <a:ext uri="{FF2B5EF4-FFF2-40B4-BE49-F238E27FC236}">
              <a16:creationId xmlns:a16="http://schemas.microsoft.com/office/drawing/2014/main" id="{00000000-0008-0000-0000-0000AB07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1964" name="Text Box 698">
          <a:extLst>
            <a:ext uri="{FF2B5EF4-FFF2-40B4-BE49-F238E27FC236}">
              <a16:creationId xmlns:a16="http://schemas.microsoft.com/office/drawing/2014/main" id="{00000000-0008-0000-0000-0000AC07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1965" name="Text Box 699">
          <a:extLst>
            <a:ext uri="{FF2B5EF4-FFF2-40B4-BE49-F238E27FC236}">
              <a16:creationId xmlns:a16="http://schemas.microsoft.com/office/drawing/2014/main" id="{00000000-0008-0000-0000-0000AD07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1966" name="Text Box 700">
          <a:extLst>
            <a:ext uri="{FF2B5EF4-FFF2-40B4-BE49-F238E27FC236}">
              <a16:creationId xmlns:a16="http://schemas.microsoft.com/office/drawing/2014/main" id="{00000000-0008-0000-0000-0000AE07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1967" name="Text Box 701">
          <a:extLst>
            <a:ext uri="{FF2B5EF4-FFF2-40B4-BE49-F238E27FC236}">
              <a16:creationId xmlns:a16="http://schemas.microsoft.com/office/drawing/2014/main" id="{00000000-0008-0000-0000-0000AF07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1968" name="Text Box 702">
          <a:extLst>
            <a:ext uri="{FF2B5EF4-FFF2-40B4-BE49-F238E27FC236}">
              <a16:creationId xmlns:a16="http://schemas.microsoft.com/office/drawing/2014/main" id="{00000000-0008-0000-0000-0000B007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1969" name="Text Box 703">
          <a:extLst>
            <a:ext uri="{FF2B5EF4-FFF2-40B4-BE49-F238E27FC236}">
              <a16:creationId xmlns:a16="http://schemas.microsoft.com/office/drawing/2014/main" id="{00000000-0008-0000-0000-0000B107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1970" name="Text Box 704">
          <a:extLst>
            <a:ext uri="{FF2B5EF4-FFF2-40B4-BE49-F238E27FC236}">
              <a16:creationId xmlns:a16="http://schemas.microsoft.com/office/drawing/2014/main" id="{00000000-0008-0000-0000-0000B207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1971" name="Text Box 705">
          <a:extLst>
            <a:ext uri="{FF2B5EF4-FFF2-40B4-BE49-F238E27FC236}">
              <a16:creationId xmlns:a16="http://schemas.microsoft.com/office/drawing/2014/main" id="{00000000-0008-0000-0000-0000B307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1972" name="Text Box 706">
          <a:extLst>
            <a:ext uri="{FF2B5EF4-FFF2-40B4-BE49-F238E27FC236}">
              <a16:creationId xmlns:a16="http://schemas.microsoft.com/office/drawing/2014/main" id="{00000000-0008-0000-0000-0000B407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1973" name="Text Box 707">
          <a:extLst>
            <a:ext uri="{FF2B5EF4-FFF2-40B4-BE49-F238E27FC236}">
              <a16:creationId xmlns:a16="http://schemas.microsoft.com/office/drawing/2014/main" id="{00000000-0008-0000-0000-0000B507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1974" name="Text Box 708">
          <a:extLst>
            <a:ext uri="{FF2B5EF4-FFF2-40B4-BE49-F238E27FC236}">
              <a16:creationId xmlns:a16="http://schemas.microsoft.com/office/drawing/2014/main" id="{00000000-0008-0000-0000-0000B607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1975" name="Text Box 709">
          <a:extLst>
            <a:ext uri="{FF2B5EF4-FFF2-40B4-BE49-F238E27FC236}">
              <a16:creationId xmlns:a16="http://schemas.microsoft.com/office/drawing/2014/main" id="{00000000-0008-0000-0000-0000B707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1976" name="Text Box 710">
          <a:extLst>
            <a:ext uri="{FF2B5EF4-FFF2-40B4-BE49-F238E27FC236}">
              <a16:creationId xmlns:a16="http://schemas.microsoft.com/office/drawing/2014/main" id="{00000000-0008-0000-0000-0000B807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1977" name="Text Box 711">
          <a:extLst>
            <a:ext uri="{FF2B5EF4-FFF2-40B4-BE49-F238E27FC236}">
              <a16:creationId xmlns:a16="http://schemas.microsoft.com/office/drawing/2014/main" id="{00000000-0008-0000-0000-0000B907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1978" name="Text Box 712">
          <a:extLst>
            <a:ext uri="{FF2B5EF4-FFF2-40B4-BE49-F238E27FC236}">
              <a16:creationId xmlns:a16="http://schemas.microsoft.com/office/drawing/2014/main" id="{00000000-0008-0000-0000-0000BA07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1979" name="Text Box 713">
          <a:extLst>
            <a:ext uri="{FF2B5EF4-FFF2-40B4-BE49-F238E27FC236}">
              <a16:creationId xmlns:a16="http://schemas.microsoft.com/office/drawing/2014/main" id="{00000000-0008-0000-0000-0000BB07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1980" name="Text Box 714">
          <a:extLst>
            <a:ext uri="{FF2B5EF4-FFF2-40B4-BE49-F238E27FC236}">
              <a16:creationId xmlns:a16="http://schemas.microsoft.com/office/drawing/2014/main" id="{00000000-0008-0000-0000-0000BC07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1981" name="Text Box 715">
          <a:extLst>
            <a:ext uri="{FF2B5EF4-FFF2-40B4-BE49-F238E27FC236}">
              <a16:creationId xmlns:a16="http://schemas.microsoft.com/office/drawing/2014/main" id="{00000000-0008-0000-0000-0000BD07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1982" name="Text Box 716">
          <a:extLst>
            <a:ext uri="{FF2B5EF4-FFF2-40B4-BE49-F238E27FC236}">
              <a16:creationId xmlns:a16="http://schemas.microsoft.com/office/drawing/2014/main" id="{00000000-0008-0000-0000-0000BE07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1983" name="Text Box 717">
          <a:extLst>
            <a:ext uri="{FF2B5EF4-FFF2-40B4-BE49-F238E27FC236}">
              <a16:creationId xmlns:a16="http://schemas.microsoft.com/office/drawing/2014/main" id="{00000000-0008-0000-0000-0000BF07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1984" name="Text Box 718">
          <a:extLst>
            <a:ext uri="{FF2B5EF4-FFF2-40B4-BE49-F238E27FC236}">
              <a16:creationId xmlns:a16="http://schemas.microsoft.com/office/drawing/2014/main" id="{00000000-0008-0000-0000-0000C007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1985" name="Text Box 719">
          <a:extLst>
            <a:ext uri="{FF2B5EF4-FFF2-40B4-BE49-F238E27FC236}">
              <a16:creationId xmlns:a16="http://schemas.microsoft.com/office/drawing/2014/main" id="{00000000-0008-0000-0000-0000C107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1986" name="Text Box 720">
          <a:extLst>
            <a:ext uri="{FF2B5EF4-FFF2-40B4-BE49-F238E27FC236}">
              <a16:creationId xmlns:a16="http://schemas.microsoft.com/office/drawing/2014/main" id="{00000000-0008-0000-0000-0000C207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1987" name="Text Box 721">
          <a:extLst>
            <a:ext uri="{FF2B5EF4-FFF2-40B4-BE49-F238E27FC236}">
              <a16:creationId xmlns:a16="http://schemas.microsoft.com/office/drawing/2014/main" id="{00000000-0008-0000-0000-0000C307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1988" name="Text Box 722">
          <a:extLst>
            <a:ext uri="{FF2B5EF4-FFF2-40B4-BE49-F238E27FC236}">
              <a16:creationId xmlns:a16="http://schemas.microsoft.com/office/drawing/2014/main" id="{00000000-0008-0000-0000-0000C407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1989" name="Text Box 723">
          <a:extLst>
            <a:ext uri="{FF2B5EF4-FFF2-40B4-BE49-F238E27FC236}">
              <a16:creationId xmlns:a16="http://schemas.microsoft.com/office/drawing/2014/main" id="{00000000-0008-0000-0000-0000C507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1990" name="Text Box 724">
          <a:extLst>
            <a:ext uri="{FF2B5EF4-FFF2-40B4-BE49-F238E27FC236}">
              <a16:creationId xmlns:a16="http://schemas.microsoft.com/office/drawing/2014/main" id="{00000000-0008-0000-0000-0000C607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1991" name="Text Box 725">
          <a:extLst>
            <a:ext uri="{FF2B5EF4-FFF2-40B4-BE49-F238E27FC236}">
              <a16:creationId xmlns:a16="http://schemas.microsoft.com/office/drawing/2014/main" id="{00000000-0008-0000-0000-0000C707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1992" name="Text Box 726">
          <a:extLst>
            <a:ext uri="{FF2B5EF4-FFF2-40B4-BE49-F238E27FC236}">
              <a16:creationId xmlns:a16="http://schemas.microsoft.com/office/drawing/2014/main" id="{00000000-0008-0000-0000-0000C807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1993" name="Text Box 727">
          <a:extLst>
            <a:ext uri="{FF2B5EF4-FFF2-40B4-BE49-F238E27FC236}">
              <a16:creationId xmlns:a16="http://schemas.microsoft.com/office/drawing/2014/main" id="{00000000-0008-0000-0000-0000C907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1994" name="Text Box 728">
          <a:extLst>
            <a:ext uri="{FF2B5EF4-FFF2-40B4-BE49-F238E27FC236}">
              <a16:creationId xmlns:a16="http://schemas.microsoft.com/office/drawing/2014/main" id="{00000000-0008-0000-0000-0000CA07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1995" name="Text Box 729">
          <a:extLst>
            <a:ext uri="{FF2B5EF4-FFF2-40B4-BE49-F238E27FC236}">
              <a16:creationId xmlns:a16="http://schemas.microsoft.com/office/drawing/2014/main" id="{00000000-0008-0000-0000-0000CB07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1996" name="Text Box 730">
          <a:extLst>
            <a:ext uri="{FF2B5EF4-FFF2-40B4-BE49-F238E27FC236}">
              <a16:creationId xmlns:a16="http://schemas.microsoft.com/office/drawing/2014/main" id="{00000000-0008-0000-0000-0000CC07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1997" name="Text Box 731">
          <a:extLst>
            <a:ext uri="{FF2B5EF4-FFF2-40B4-BE49-F238E27FC236}">
              <a16:creationId xmlns:a16="http://schemas.microsoft.com/office/drawing/2014/main" id="{00000000-0008-0000-0000-0000CD07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1998" name="Text Box 732">
          <a:extLst>
            <a:ext uri="{FF2B5EF4-FFF2-40B4-BE49-F238E27FC236}">
              <a16:creationId xmlns:a16="http://schemas.microsoft.com/office/drawing/2014/main" id="{00000000-0008-0000-0000-0000CE07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1999" name="Text Box 733">
          <a:extLst>
            <a:ext uri="{FF2B5EF4-FFF2-40B4-BE49-F238E27FC236}">
              <a16:creationId xmlns:a16="http://schemas.microsoft.com/office/drawing/2014/main" id="{00000000-0008-0000-0000-0000CF07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00" name="Text Box 734">
          <a:extLst>
            <a:ext uri="{FF2B5EF4-FFF2-40B4-BE49-F238E27FC236}">
              <a16:creationId xmlns:a16="http://schemas.microsoft.com/office/drawing/2014/main" id="{00000000-0008-0000-0000-0000D007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01" name="Text Box 735">
          <a:extLst>
            <a:ext uri="{FF2B5EF4-FFF2-40B4-BE49-F238E27FC236}">
              <a16:creationId xmlns:a16="http://schemas.microsoft.com/office/drawing/2014/main" id="{00000000-0008-0000-0000-0000D107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02" name="Text Box 736">
          <a:extLst>
            <a:ext uri="{FF2B5EF4-FFF2-40B4-BE49-F238E27FC236}">
              <a16:creationId xmlns:a16="http://schemas.microsoft.com/office/drawing/2014/main" id="{00000000-0008-0000-0000-0000D207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03" name="Text Box 737">
          <a:extLst>
            <a:ext uri="{FF2B5EF4-FFF2-40B4-BE49-F238E27FC236}">
              <a16:creationId xmlns:a16="http://schemas.microsoft.com/office/drawing/2014/main" id="{00000000-0008-0000-0000-0000D307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04" name="Text Box 738">
          <a:extLst>
            <a:ext uri="{FF2B5EF4-FFF2-40B4-BE49-F238E27FC236}">
              <a16:creationId xmlns:a16="http://schemas.microsoft.com/office/drawing/2014/main" id="{00000000-0008-0000-0000-0000D407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05" name="Text Box 739">
          <a:extLst>
            <a:ext uri="{FF2B5EF4-FFF2-40B4-BE49-F238E27FC236}">
              <a16:creationId xmlns:a16="http://schemas.microsoft.com/office/drawing/2014/main" id="{00000000-0008-0000-0000-0000D507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06" name="Text Box 740">
          <a:extLst>
            <a:ext uri="{FF2B5EF4-FFF2-40B4-BE49-F238E27FC236}">
              <a16:creationId xmlns:a16="http://schemas.microsoft.com/office/drawing/2014/main" id="{00000000-0008-0000-0000-0000D607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07" name="Text Box 741">
          <a:extLst>
            <a:ext uri="{FF2B5EF4-FFF2-40B4-BE49-F238E27FC236}">
              <a16:creationId xmlns:a16="http://schemas.microsoft.com/office/drawing/2014/main" id="{00000000-0008-0000-0000-0000D707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08" name="Text Box 742">
          <a:extLst>
            <a:ext uri="{FF2B5EF4-FFF2-40B4-BE49-F238E27FC236}">
              <a16:creationId xmlns:a16="http://schemas.microsoft.com/office/drawing/2014/main" id="{00000000-0008-0000-0000-0000D807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09" name="Text Box 743">
          <a:extLst>
            <a:ext uri="{FF2B5EF4-FFF2-40B4-BE49-F238E27FC236}">
              <a16:creationId xmlns:a16="http://schemas.microsoft.com/office/drawing/2014/main" id="{00000000-0008-0000-0000-0000D907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10" name="Text Box 744">
          <a:extLst>
            <a:ext uri="{FF2B5EF4-FFF2-40B4-BE49-F238E27FC236}">
              <a16:creationId xmlns:a16="http://schemas.microsoft.com/office/drawing/2014/main" id="{00000000-0008-0000-0000-0000DA07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11" name="Text Box 745">
          <a:extLst>
            <a:ext uri="{FF2B5EF4-FFF2-40B4-BE49-F238E27FC236}">
              <a16:creationId xmlns:a16="http://schemas.microsoft.com/office/drawing/2014/main" id="{00000000-0008-0000-0000-0000DB07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12" name="Text Box 746">
          <a:extLst>
            <a:ext uri="{FF2B5EF4-FFF2-40B4-BE49-F238E27FC236}">
              <a16:creationId xmlns:a16="http://schemas.microsoft.com/office/drawing/2014/main" id="{00000000-0008-0000-0000-0000DC07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13" name="Text Box 747">
          <a:extLst>
            <a:ext uri="{FF2B5EF4-FFF2-40B4-BE49-F238E27FC236}">
              <a16:creationId xmlns:a16="http://schemas.microsoft.com/office/drawing/2014/main" id="{00000000-0008-0000-0000-0000DD07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14" name="Text Box 748">
          <a:extLst>
            <a:ext uri="{FF2B5EF4-FFF2-40B4-BE49-F238E27FC236}">
              <a16:creationId xmlns:a16="http://schemas.microsoft.com/office/drawing/2014/main" id="{00000000-0008-0000-0000-0000DE07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15" name="Text Box 749">
          <a:extLst>
            <a:ext uri="{FF2B5EF4-FFF2-40B4-BE49-F238E27FC236}">
              <a16:creationId xmlns:a16="http://schemas.microsoft.com/office/drawing/2014/main" id="{00000000-0008-0000-0000-0000DF07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16" name="Text Box 750">
          <a:extLst>
            <a:ext uri="{FF2B5EF4-FFF2-40B4-BE49-F238E27FC236}">
              <a16:creationId xmlns:a16="http://schemas.microsoft.com/office/drawing/2014/main" id="{00000000-0008-0000-0000-0000E007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17" name="Text Box 751">
          <a:extLst>
            <a:ext uri="{FF2B5EF4-FFF2-40B4-BE49-F238E27FC236}">
              <a16:creationId xmlns:a16="http://schemas.microsoft.com/office/drawing/2014/main" id="{00000000-0008-0000-0000-0000E107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18" name="Text Box 752">
          <a:extLst>
            <a:ext uri="{FF2B5EF4-FFF2-40B4-BE49-F238E27FC236}">
              <a16:creationId xmlns:a16="http://schemas.microsoft.com/office/drawing/2014/main" id="{00000000-0008-0000-0000-0000E207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19" name="Text Box 753">
          <a:extLst>
            <a:ext uri="{FF2B5EF4-FFF2-40B4-BE49-F238E27FC236}">
              <a16:creationId xmlns:a16="http://schemas.microsoft.com/office/drawing/2014/main" id="{00000000-0008-0000-0000-0000E307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20" name="Text Box 754">
          <a:extLst>
            <a:ext uri="{FF2B5EF4-FFF2-40B4-BE49-F238E27FC236}">
              <a16:creationId xmlns:a16="http://schemas.microsoft.com/office/drawing/2014/main" id="{00000000-0008-0000-0000-0000E407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21" name="Text Box 755">
          <a:extLst>
            <a:ext uri="{FF2B5EF4-FFF2-40B4-BE49-F238E27FC236}">
              <a16:creationId xmlns:a16="http://schemas.microsoft.com/office/drawing/2014/main" id="{00000000-0008-0000-0000-0000E507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22" name="Text Box 756">
          <a:extLst>
            <a:ext uri="{FF2B5EF4-FFF2-40B4-BE49-F238E27FC236}">
              <a16:creationId xmlns:a16="http://schemas.microsoft.com/office/drawing/2014/main" id="{00000000-0008-0000-0000-0000E607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23" name="Text Box 757">
          <a:extLst>
            <a:ext uri="{FF2B5EF4-FFF2-40B4-BE49-F238E27FC236}">
              <a16:creationId xmlns:a16="http://schemas.microsoft.com/office/drawing/2014/main" id="{00000000-0008-0000-0000-0000E707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24" name="Text Box 758">
          <a:extLst>
            <a:ext uri="{FF2B5EF4-FFF2-40B4-BE49-F238E27FC236}">
              <a16:creationId xmlns:a16="http://schemas.microsoft.com/office/drawing/2014/main" id="{00000000-0008-0000-0000-0000E807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25" name="Text Box 759">
          <a:extLst>
            <a:ext uri="{FF2B5EF4-FFF2-40B4-BE49-F238E27FC236}">
              <a16:creationId xmlns:a16="http://schemas.microsoft.com/office/drawing/2014/main" id="{00000000-0008-0000-0000-0000E907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26" name="Text Box 760">
          <a:extLst>
            <a:ext uri="{FF2B5EF4-FFF2-40B4-BE49-F238E27FC236}">
              <a16:creationId xmlns:a16="http://schemas.microsoft.com/office/drawing/2014/main" id="{00000000-0008-0000-0000-0000EA07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27" name="Text Box 761">
          <a:extLst>
            <a:ext uri="{FF2B5EF4-FFF2-40B4-BE49-F238E27FC236}">
              <a16:creationId xmlns:a16="http://schemas.microsoft.com/office/drawing/2014/main" id="{00000000-0008-0000-0000-0000EB07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28" name="Text Box 762">
          <a:extLst>
            <a:ext uri="{FF2B5EF4-FFF2-40B4-BE49-F238E27FC236}">
              <a16:creationId xmlns:a16="http://schemas.microsoft.com/office/drawing/2014/main" id="{00000000-0008-0000-0000-0000EC07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29" name="Text Box 763">
          <a:extLst>
            <a:ext uri="{FF2B5EF4-FFF2-40B4-BE49-F238E27FC236}">
              <a16:creationId xmlns:a16="http://schemas.microsoft.com/office/drawing/2014/main" id="{00000000-0008-0000-0000-0000ED07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30" name="Text Box 764">
          <a:extLst>
            <a:ext uri="{FF2B5EF4-FFF2-40B4-BE49-F238E27FC236}">
              <a16:creationId xmlns:a16="http://schemas.microsoft.com/office/drawing/2014/main" id="{00000000-0008-0000-0000-0000EE07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31" name="Text Box 765">
          <a:extLst>
            <a:ext uri="{FF2B5EF4-FFF2-40B4-BE49-F238E27FC236}">
              <a16:creationId xmlns:a16="http://schemas.microsoft.com/office/drawing/2014/main" id="{00000000-0008-0000-0000-0000EF07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32" name="Text Box 766">
          <a:extLst>
            <a:ext uri="{FF2B5EF4-FFF2-40B4-BE49-F238E27FC236}">
              <a16:creationId xmlns:a16="http://schemas.microsoft.com/office/drawing/2014/main" id="{00000000-0008-0000-0000-0000F007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33" name="Text Box 767">
          <a:extLst>
            <a:ext uri="{FF2B5EF4-FFF2-40B4-BE49-F238E27FC236}">
              <a16:creationId xmlns:a16="http://schemas.microsoft.com/office/drawing/2014/main" id="{00000000-0008-0000-0000-0000F107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34" name="Text Box 768">
          <a:extLst>
            <a:ext uri="{FF2B5EF4-FFF2-40B4-BE49-F238E27FC236}">
              <a16:creationId xmlns:a16="http://schemas.microsoft.com/office/drawing/2014/main" id="{00000000-0008-0000-0000-0000F207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35" name="Text Box 769">
          <a:extLst>
            <a:ext uri="{FF2B5EF4-FFF2-40B4-BE49-F238E27FC236}">
              <a16:creationId xmlns:a16="http://schemas.microsoft.com/office/drawing/2014/main" id="{00000000-0008-0000-0000-0000F307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36" name="Text Box 770">
          <a:extLst>
            <a:ext uri="{FF2B5EF4-FFF2-40B4-BE49-F238E27FC236}">
              <a16:creationId xmlns:a16="http://schemas.microsoft.com/office/drawing/2014/main" id="{00000000-0008-0000-0000-0000F407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37" name="Text Box 771">
          <a:extLst>
            <a:ext uri="{FF2B5EF4-FFF2-40B4-BE49-F238E27FC236}">
              <a16:creationId xmlns:a16="http://schemas.microsoft.com/office/drawing/2014/main" id="{00000000-0008-0000-0000-0000F507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38" name="Text Box 772">
          <a:extLst>
            <a:ext uri="{FF2B5EF4-FFF2-40B4-BE49-F238E27FC236}">
              <a16:creationId xmlns:a16="http://schemas.microsoft.com/office/drawing/2014/main" id="{00000000-0008-0000-0000-0000F607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39" name="Text Box 773">
          <a:extLst>
            <a:ext uri="{FF2B5EF4-FFF2-40B4-BE49-F238E27FC236}">
              <a16:creationId xmlns:a16="http://schemas.microsoft.com/office/drawing/2014/main" id="{00000000-0008-0000-0000-0000F707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40" name="Text Box 774">
          <a:extLst>
            <a:ext uri="{FF2B5EF4-FFF2-40B4-BE49-F238E27FC236}">
              <a16:creationId xmlns:a16="http://schemas.microsoft.com/office/drawing/2014/main" id="{00000000-0008-0000-0000-0000F807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41" name="Text Box 775">
          <a:extLst>
            <a:ext uri="{FF2B5EF4-FFF2-40B4-BE49-F238E27FC236}">
              <a16:creationId xmlns:a16="http://schemas.microsoft.com/office/drawing/2014/main" id="{00000000-0008-0000-0000-0000F907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42" name="Text Box 776">
          <a:extLst>
            <a:ext uri="{FF2B5EF4-FFF2-40B4-BE49-F238E27FC236}">
              <a16:creationId xmlns:a16="http://schemas.microsoft.com/office/drawing/2014/main" id="{00000000-0008-0000-0000-0000FA07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43" name="Text Box 777">
          <a:extLst>
            <a:ext uri="{FF2B5EF4-FFF2-40B4-BE49-F238E27FC236}">
              <a16:creationId xmlns:a16="http://schemas.microsoft.com/office/drawing/2014/main" id="{00000000-0008-0000-0000-0000FB07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44" name="Text Box 693">
          <a:extLst>
            <a:ext uri="{FF2B5EF4-FFF2-40B4-BE49-F238E27FC236}">
              <a16:creationId xmlns:a16="http://schemas.microsoft.com/office/drawing/2014/main" id="{00000000-0008-0000-0000-0000FC07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45" name="Text Box 694">
          <a:extLst>
            <a:ext uri="{FF2B5EF4-FFF2-40B4-BE49-F238E27FC236}">
              <a16:creationId xmlns:a16="http://schemas.microsoft.com/office/drawing/2014/main" id="{00000000-0008-0000-0000-0000FD07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46" name="Text Box 695">
          <a:extLst>
            <a:ext uri="{FF2B5EF4-FFF2-40B4-BE49-F238E27FC236}">
              <a16:creationId xmlns:a16="http://schemas.microsoft.com/office/drawing/2014/main" id="{00000000-0008-0000-0000-0000FE07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47" name="Text Box 696">
          <a:extLst>
            <a:ext uri="{FF2B5EF4-FFF2-40B4-BE49-F238E27FC236}">
              <a16:creationId xmlns:a16="http://schemas.microsoft.com/office/drawing/2014/main" id="{00000000-0008-0000-0000-0000FF07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48" name="Text Box 697">
          <a:extLst>
            <a:ext uri="{FF2B5EF4-FFF2-40B4-BE49-F238E27FC236}">
              <a16:creationId xmlns:a16="http://schemas.microsoft.com/office/drawing/2014/main" id="{00000000-0008-0000-0000-00000008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49" name="Text Box 698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50" name="Text Box 699">
          <a:extLst>
            <a:ext uri="{FF2B5EF4-FFF2-40B4-BE49-F238E27FC236}">
              <a16:creationId xmlns:a16="http://schemas.microsoft.com/office/drawing/2014/main" id="{00000000-0008-0000-0000-00000208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51" name="Text Box 700">
          <a:extLst>
            <a:ext uri="{FF2B5EF4-FFF2-40B4-BE49-F238E27FC236}">
              <a16:creationId xmlns:a16="http://schemas.microsoft.com/office/drawing/2014/main" id="{00000000-0008-0000-0000-00000308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52" name="Text Box 701">
          <a:extLst>
            <a:ext uri="{FF2B5EF4-FFF2-40B4-BE49-F238E27FC236}">
              <a16:creationId xmlns:a16="http://schemas.microsoft.com/office/drawing/2014/main" id="{00000000-0008-0000-0000-00000408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53" name="Text Box 702">
          <a:extLst>
            <a:ext uri="{FF2B5EF4-FFF2-40B4-BE49-F238E27FC236}">
              <a16:creationId xmlns:a16="http://schemas.microsoft.com/office/drawing/2014/main" id="{00000000-0008-0000-0000-00000508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54" name="Text Box 703">
          <a:extLst>
            <a:ext uri="{FF2B5EF4-FFF2-40B4-BE49-F238E27FC236}">
              <a16:creationId xmlns:a16="http://schemas.microsoft.com/office/drawing/2014/main" id="{00000000-0008-0000-0000-00000608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55" name="Text Box 704">
          <a:extLst>
            <a:ext uri="{FF2B5EF4-FFF2-40B4-BE49-F238E27FC236}">
              <a16:creationId xmlns:a16="http://schemas.microsoft.com/office/drawing/2014/main" id="{00000000-0008-0000-0000-00000708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56" name="Text Box 705">
          <a:extLst>
            <a:ext uri="{FF2B5EF4-FFF2-40B4-BE49-F238E27FC236}">
              <a16:creationId xmlns:a16="http://schemas.microsoft.com/office/drawing/2014/main" id="{00000000-0008-0000-0000-00000808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57" name="Text Box 706">
          <a:extLst>
            <a:ext uri="{FF2B5EF4-FFF2-40B4-BE49-F238E27FC236}">
              <a16:creationId xmlns:a16="http://schemas.microsoft.com/office/drawing/2014/main" id="{00000000-0008-0000-0000-00000908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58" name="Text Box 707">
          <a:extLst>
            <a:ext uri="{FF2B5EF4-FFF2-40B4-BE49-F238E27FC236}">
              <a16:creationId xmlns:a16="http://schemas.microsoft.com/office/drawing/2014/main" id="{00000000-0008-0000-0000-00000A08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59" name="Text Box 708">
          <a:extLst>
            <a:ext uri="{FF2B5EF4-FFF2-40B4-BE49-F238E27FC236}">
              <a16:creationId xmlns:a16="http://schemas.microsoft.com/office/drawing/2014/main" id="{00000000-0008-0000-0000-00000B08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60" name="Text Box 709">
          <a:extLst>
            <a:ext uri="{FF2B5EF4-FFF2-40B4-BE49-F238E27FC236}">
              <a16:creationId xmlns:a16="http://schemas.microsoft.com/office/drawing/2014/main" id="{00000000-0008-0000-0000-00000C08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61" name="Text Box 710">
          <a:extLst>
            <a:ext uri="{FF2B5EF4-FFF2-40B4-BE49-F238E27FC236}">
              <a16:creationId xmlns:a16="http://schemas.microsoft.com/office/drawing/2014/main" id="{00000000-0008-0000-0000-00000D08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62" name="Text Box 711">
          <a:extLst>
            <a:ext uri="{FF2B5EF4-FFF2-40B4-BE49-F238E27FC236}">
              <a16:creationId xmlns:a16="http://schemas.microsoft.com/office/drawing/2014/main" id="{00000000-0008-0000-0000-00000E08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63" name="Text Box 712">
          <a:extLst>
            <a:ext uri="{FF2B5EF4-FFF2-40B4-BE49-F238E27FC236}">
              <a16:creationId xmlns:a16="http://schemas.microsoft.com/office/drawing/2014/main" id="{00000000-0008-0000-0000-00000F08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64" name="Text Box 713">
          <a:extLst>
            <a:ext uri="{FF2B5EF4-FFF2-40B4-BE49-F238E27FC236}">
              <a16:creationId xmlns:a16="http://schemas.microsoft.com/office/drawing/2014/main" id="{00000000-0008-0000-0000-00001008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65" name="Text Box 714">
          <a:extLst>
            <a:ext uri="{FF2B5EF4-FFF2-40B4-BE49-F238E27FC236}">
              <a16:creationId xmlns:a16="http://schemas.microsoft.com/office/drawing/2014/main" id="{00000000-0008-0000-0000-00001108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66" name="Text Box 715">
          <a:extLst>
            <a:ext uri="{FF2B5EF4-FFF2-40B4-BE49-F238E27FC236}">
              <a16:creationId xmlns:a16="http://schemas.microsoft.com/office/drawing/2014/main" id="{00000000-0008-0000-0000-00001208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67" name="Text Box 716">
          <a:extLst>
            <a:ext uri="{FF2B5EF4-FFF2-40B4-BE49-F238E27FC236}">
              <a16:creationId xmlns:a16="http://schemas.microsoft.com/office/drawing/2014/main" id="{00000000-0008-0000-0000-00001308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68" name="Text Box 717">
          <a:extLst>
            <a:ext uri="{FF2B5EF4-FFF2-40B4-BE49-F238E27FC236}">
              <a16:creationId xmlns:a16="http://schemas.microsoft.com/office/drawing/2014/main" id="{00000000-0008-0000-0000-00001408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69" name="Text Box 718">
          <a:extLst>
            <a:ext uri="{FF2B5EF4-FFF2-40B4-BE49-F238E27FC236}">
              <a16:creationId xmlns:a16="http://schemas.microsoft.com/office/drawing/2014/main" id="{00000000-0008-0000-0000-00001508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70" name="Text Box 719">
          <a:extLst>
            <a:ext uri="{FF2B5EF4-FFF2-40B4-BE49-F238E27FC236}">
              <a16:creationId xmlns:a16="http://schemas.microsoft.com/office/drawing/2014/main" id="{00000000-0008-0000-0000-00001608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71" name="Text Box 720">
          <a:extLst>
            <a:ext uri="{FF2B5EF4-FFF2-40B4-BE49-F238E27FC236}">
              <a16:creationId xmlns:a16="http://schemas.microsoft.com/office/drawing/2014/main" id="{00000000-0008-0000-0000-00001708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72" name="Text Box 721">
          <a:extLst>
            <a:ext uri="{FF2B5EF4-FFF2-40B4-BE49-F238E27FC236}">
              <a16:creationId xmlns:a16="http://schemas.microsoft.com/office/drawing/2014/main" id="{00000000-0008-0000-0000-00001808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73" name="Text Box 722">
          <a:extLst>
            <a:ext uri="{FF2B5EF4-FFF2-40B4-BE49-F238E27FC236}">
              <a16:creationId xmlns:a16="http://schemas.microsoft.com/office/drawing/2014/main" id="{00000000-0008-0000-0000-00001908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74" name="Text Box 723">
          <a:extLst>
            <a:ext uri="{FF2B5EF4-FFF2-40B4-BE49-F238E27FC236}">
              <a16:creationId xmlns:a16="http://schemas.microsoft.com/office/drawing/2014/main" id="{00000000-0008-0000-0000-00001A08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75" name="Text Box 724">
          <a:extLst>
            <a:ext uri="{FF2B5EF4-FFF2-40B4-BE49-F238E27FC236}">
              <a16:creationId xmlns:a16="http://schemas.microsoft.com/office/drawing/2014/main" id="{00000000-0008-0000-0000-00001B08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76" name="Text Box 725">
          <a:extLst>
            <a:ext uri="{FF2B5EF4-FFF2-40B4-BE49-F238E27FC236}">
              <a16:creationId xmlns:a16="http://schemas.microsoft.com/office/drawing/2014/main" id="{00000000-0008-0000-0000-00001C08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77" name="Text Box 726">
          <a:extLst>
            <a:ext uri="{FF2B5EF4-FFF2-40B4-BE49-F238E27FC236}">
              <a16:creationId xmlns:a16="http://schemas.microsoft.com/office/drawing/2014/main" id="{00000000-0008-0000-0000-00001D08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78" name="Text Box 727">
          <a:extLst>
            <a:ext uri="{FF2B5EF4-FFF2-40B4-BE49-F238E27FC236}">
              <a16:creationId xmlns:a16="http://schemas.microsoft.com/office/drawing/2014/main" id="{00000000-0008-0000-0000-00001E08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79" name="Text Box 728">
          <a:extLst>
            <a:ext uri="{FF2B5EF4-FFF2-40B4-BE49-F238E27FC236}">
              <a16:creationId xmlns:a16="http://schemas.microsoft.com/office/drawing/2014/main" id="{00000000-0008-0000-0000-00001F08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80" name="Text Box 729">
          <a:extLst>
            <a:ext uri="{FF2B5EF4-FFF2-40B4-BE49-F238E27FC236}">
              <a16:creationId xmlns:a16="http://schemas.microsoft.com/office/drawing/2014/main" id="{00000000-0008-0000-0000-00002008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81" name="Text Box 730">
          <a:extLst>
            <a:ext uri="{FF2B5EF4-FFF2-40B4-BE49-F238E27FC236}">
              <a16:creationId xmlns:a16="http://schemas.microsoft.com/office/drawing/2014/main" id="{00000000-0008-0000-0000-00002108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82" name="Text Box 731">
          <a:extLst>
            <a:ext uri="{FF2B5EF4-FFF2-40B4-BE49-F238E27FC236}">
              <a16:creationId xmlns:a16="http://schemas.microsoft.com/office/drawing/2014/main" id="{00000000-0008-0000-0000-00002208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83" name="Text Box 732">
          <a:extLst>
            <a:ext uri="{FF2B5EF4-FFF2-40B4-BE49-F238E27FC236}">
              <a16:creationId xmlns:a16="http://schemas.microsoft.com/office/drawing/2014/main" id="{00000000-0008-0000-0000-00002308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84" name="Text Box 733">
          <a:extLst>
            <a:ext uri="{FF2B5EF4-FFF2-40B4-BE49-F238E27FC236}">
              <a16:creationId xmlns:a16="http://schemas.microsoft.com/office/drawing/2014/main" id="{00000000-0008-0000-0000-00002408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85" name="Text Box 734">
          <a:extLst>
            <a:ext uri="{FF2B5EF4-FFF2-40B4-BE49-F238E27FC236}">
              <a16:creationId xmlns:a16="http://schemas.microsoft.com/office/drawing/2014/main" id="{00000000-0008-0000-0000-00002508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86" name="Text Box 735">
          <a:extLst>
            <a:ext uri="{FF2B5EF4-FFF2-40B4-BE49-F238E27FC236}">
              <a16:creationId xmlns:a16="http://schemas.microsoft.com/office/drawing/2014/main" id="{00000000-0008-0000-0000-00002608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87" name="Text Box 736">
          <a:extLst>
            <a:ext uri="{FF2B5EF4-FFF2-40B4-BE49-F238E27FC236}">
              <a16:creationId xmlns:a16="http://schemas.microsoft.com/office/drawing/2014/main" id="{00000000-0008-0000-0000-00002708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88" name="Text Box 737">
          <a:extLst>
            <a:ext uri="{FF2B5EF4-FFF2-40B4-BE49-F238E27FC236}">
              <a16:creationId xmlns:a16="http://schemas.microsoft.com/office/drawing/2014/main" id="{00000000-0008-0000-0000-00002808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89" name="Text Box 738">
          <a:extLst>
            <a:ext uri="{FF2B5EF4-FFF2-40B4-BE49-F238E27FC236}">
              <a16:creationId xmlns:a16="http://schemas.microsoft.com/office/drawing/2014/main" id="{00000000-0008-0000-0000-00002908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90" name="Text Box 739">
          <a:extLst>
            <a:ext uri="{FF2B5EF4-FFF2-40B4-BE49-F238E27FC236}">
              <a16:creationId xmlns:a16="http://schemas.microsoft.com/office/drawing/2014/main" id="{00000000-0008-0000-0000-00002A08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91" name="Text Box 740">
          <a:extLst>
            <a:ext uri="{FF2B5EF4-FFF2-40B4-BE49-F238E27FC236}">
              <a16:creationId xmlns:a16="http://schemas.microsoft.com/office/drawing/2014/main" id="{00000000-0008-0000-0000-00002B08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92" name="Text Box 741">
          <a:extLst>
            <a:ext uri="{FF2B5EF4-FFF2-40B4-BE49-F238E27FC236}">
              <a16:creationId xmlns:a16="http://schemas.microsoft.com/office/drawing/2014/main" id="{00000000-0008-0000-0000-00002C08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93" name="Text Box 742">
          <a:extLst>
            <a:ext uri="{FF2B5EF4-FFF2-40B4-BE49-F238E27FC236}">
              <a16:creationId xmlns:a16="http://schemas.microsoft.com/office/drawing/2014/main" id="{00000000-0008-0000-0000-00002D08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94" name="Text Box 743">
          <a:extLst>
            <a:ext uri="{FF2B5EF4-FFF2-40B4-BE49-F238E27FC236}">
              <a16:creationId xmlns:a16="http://schemas.microsoft.com/office/drawing/2014/main" id="{00000000-0008-0000-0000-00002E08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95" name="Text Box 744">
          <a:extLst>
            <a:ext uri="{FF2B5EF4-FFF2-40B4-BE49-F238E27FC236}">
              <a16:creationId xmlns:a16="http://schemas.microsoft.com/office/drawing/2014/main" id="{00000000-0008-0000-0000-00002F08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96" name="Text Box 745">
          <a:extLst>
            <a:ext uri="{FF2B5EF4-FFF2-40B4-BE49-F238E27FC236}">
              <a16:creationId xmlns:a16="http://schemas.microsoft.com/office/drawing/2014/main" id="{00000000-0008-0000-0000-00003008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97" name="Text Box 746">
          <a:extLst>
            <a:ext uri="{FF2B5EF4-FFF2-40B4-BE49-F238E27FC236}">
              <a16:creationId xmlns:a16="http://schemas.microsoft.com/office/drawing/2014/main" id="{00000000-0008-0000-0000-00003108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98" name="Text Box 747">
          <a:extLst>
            <a:ext uri="{FF2B5EF4-FFF2-40B4-BE49-F238E27FC236}">
              <a16:creationId xmlns:a16="http://schemas.microsoft.com/office/drawing/2014/main" id="{00000000-0008-0000-0000-00003208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099" name="Text Box 748">
          <a:extLst>
            <a:ext uri="{FF2B5EF4-FFF2-40B4-BE49-F238E27FC236}">
              <a16:creationId xmlns:a16="http://schemas.microsoft.com/office/drawing/2014/main" id="{00000000-0008-0000-0000-00003308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100" name="Text Box 749">
          <a:extLst>
            <a:ext uri="{FF2B5EF4-FFF2-40B4-BE49-F238E27FC236}">
              <a16:creationId xmlns:a16="http://schemas.microsoft.com/office/drawing/2014/main" id="{00000000-0008-0000-0000-00003408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101" name="Text Box 750">
          <a:extLst>
            <a:ext uri="{FF2B5EF4-FFF2-40B4-BE49-F238E27FC236}">
              <a16:creationId xmlns:a16="http://schemas.microsoft.com/office/drawing/2014/main" id="{00000000-0008-0000-0000-00003508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102" name="Text Box 751">
          <a:extLst>
            <a:ext uri="{FF2B5EF4-FFF2-40B4-BE49-F238E27FC236}">
              <a16:creationId xmlns:a16="http://schemas.microsoft.com/office/drawing/2014/main" id="{00000000-0008-0000-0000-00003608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103" name="Text Box 752">
          <a:extLst>
            <a:ext uri="{FF2B5EF4-FFF2-40B4-BE49-F238E27FC236}">
              <a16:creationId xmlns:a16="http://schemas.microsoft.com/office/drawing/2014/main" id="{00000000-0008-0000-0000-00003708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104" name="Text Box 753">
          <a:extLst>
            <a:ext uri="{FF2B5EF4-FFF2-40B4-BE49-F238E27FC236}">
              <a16:creationId xmlns:a16="http://schemas.microsoft.com/office/drawing/2014/main" id="{00000000-0008-0000-0000-00003808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105" name="Text Box 754">
          <a:extLst>
            <a:ext uri="{FF2B5EF4-FFF2-40B4-BE49-F238E27FC236}">
              <a16:creationId xmlns:a16="http://schemas.microsoft.com/office/drawing/2014/main" id="{00000000-0008-0000-0000-00003908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106" name="Text Box 755">
          <a:extLst>
            <a:ext uri="{FF2B5EF4-FFF2-40B4-BE49-F238E27FC236}">
              <a16:creationId xmlns:a16="http://schemas.microsoft.com/office/drawing/2014/main" id="{00000000-0008-0000-0000-00003A08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107" name="Text Box 756">
          <a:extLst>
            <a:ext uri="{FF2B5EF4-FFF2-40B4-BE49-F238E27FC236}">
              <a16:creationId xmlns:a16="http://schemas.microsoft.com/office/drawing/2014/main" id="{00000000-0008-0000-0000-00003B08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108" name="Text Box 757">
          <a:extLst>
            <a:ext uri="{FF2B5EF4-FFF2-40B4-BE49-F238E27FC236}">
              <a16:creationId xmlns:a16="http://schemas.microsoft.com/office/drawing/2014/main" id="{00000000-0008-0000-0000-00003C08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109" name="Text Box 758">
          <a:extLst>
            <a:ext uri="{FF2B5EF4-FFF2-40B4-BE49-F238E27FC236}">
              <a16:creationId xmlns:a16="http://schemas.microsoft.com/office/drawing/2014/main" id="{00000000-0008-0000-0000-00003D08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110" name="Text Box 759">
          <a:extLst>
            <a:ext uri="{FF2B5EF4-FFF2-40B4-BE49-F238E27FC236}">
              <a16:creationId xmlns:a16="http://schemas.microsoft.com/office/drawing/2014/main" id="{00000000-0008-0000-0000-00003E08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111" name="Text Box 760">
          <a:extLst>
            <a:ext uri="{FF2B5EF4-FFF2-40B4-BE49-F238E27FC236}">
              <a16:creationId xmlns:a16="http://schemas.microsoft.com/office/drawing/2014/main" id="{00000000-0008-0000-0000-00003F08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112" name="Text Box 761">
          <a:extLst>
            <a:ext uri="{FF2B5EF4-FFF2-40B4-BE49-F238E27FC236}">
              <a16:creationId xmlns:a16="http://schemas.microsoft.com/office/drawing/2014/main" id="{00000000-0008-0000-0000-00004008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113" name="Text Box 762">
          <a:extLst>
            <a:ext uri="{FF2B5EF4-FFF2-40B4-BE49-F238E27FC236}">
              <a16:creationId xmlns:a16="http://schemas.microsoft.com/office/drawing/2014/main" id="{00000000-0008-0000-0000-00004108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114" name="Text Box 763">
          <a:extLst>
            <a:ext uri="{FF2B5EF4-FFF2-40B4-BE49-F238E27FC236}">
              <a16:creationId xmlns:a16="http://schemas.microsoft.com/office/drawing/2014/main" id="{00000000-0008-0000-0000-00004208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115" name="Text Box 764">
          <a:extLst>
            <a:ext uri="{FF2B5EF4-FFF2-40B4-BE49-F238E27FC236}">
              <a16:creationId xmlns:a16="http://schemas.microsoft.com/office/drawing/2014/main" id="{00000000-0008-0000-0000-00004308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116" name="Text Box 765">
          <a:extLst>
            <a:ext uri="{FF2B5EF4-FFF2-40B4-BE49-F238E27FC236}">
              <a16:creationId xmlns:a16="http://schemas.microsoft.com/office/drawing/2014/main" id="{00000000-0008-0000-0000-00004408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117" name="Text Box 766">
          <a:extLst>
            <a:ext uri="{FF2B5EF4-FFF2-40B4-BE49-F238E27FC236}">
              <a16:creationId xmlns:a16="http://schemas.microsoft.com/office/drawing/2014/main" id="{00000000-0008-0000-0000-00004508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118" name="Text Box 767">
          <a:extLst>
            <a:ext uri="{FF2B5EF4-FFF2-40B4-BE49-F238E27FC236}">
              <a16:creationId xmlns:a16="http://schemas.microsoft.com/office/drawing/2014/main" id="{00000000-0008-0000-0000-00004608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119" name="Text Box 768">
          <a:extLst>
            <a:ext uri="{FF2B5EF4-FFF2-40B4-BE49-F238E27FC236}">
              <a16:creationId xmlns:a16="http://schemas.microsoft.com/office/drawing/2014/main" id="{00000000-0008-0000-0000-00004708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120" name="Text Box 769">
          <a:extLst>
            <a:ext uri="{FF2B5EF4-FFF2-40B4-BE49-F238E27FC236}">
              <a16:creationId xmlns:a16="http://schemas.microsoft.com/office/drawing/2014/main" id="{00000000-0008-0000-0000-00004808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121" name="Text Box 770">
          <a:extLst>
            <a:ext uri="{FF2B5EF4-FFF2-40B4-BE49-F238E27FC236}">
              <a16:creationId xmlns:a16="http://schemas.microsoft.com/office/drawing/2014/main" id="{00000000-0008-0000-0000-00004908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122" name="Text Box 771">
          <a:extLst>
            <a:ext uri="{FF2B5EF4-FFF2-40B4-BE49-F238E27FC236}">
              <a16:creationId xmlns:a16="http://schemas.microsoft.com/office/drawing/2014/main" id="{00000000-0008-0000-0000-00004A08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123" name="Text Box 772">
          <a:extLst>
            <a:ext uri="{FF2B5EF4-FFF2-40B4-BE49-F238E27FC236}">
              <a16:creationId xmlns:a16="http://schemas.microsoft.com/office/drawing/2014/main" id="{00000000-0008-0000-0000-00004B08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124" name="Text Box 773">
          <a:extLst>
            <a:ext uri="{FF2B5EF4-FFF2-40B4-BE49-F238E27FC236}">
              <a16:creationId xmlns:a16="http://schemas.microsoft.com/office/drawing/2014/main" id="{00000000-0008-0000-0000-00004C08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125" name="Text Box 774">
          <a:extLst>
            <a:ext uri="{FF2B5EF4-FFF2-40B4-BE49-F238E27FC236}">
              <a16:creationId xmlns:a16="http://schemas.microsoft.com/office/drawing/2014/main" id="{00000000-0008-0000-0000-00004D08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126" name="Text Box 775">
          <a:extLst>
            <a:ext uri="{FF2B5EF4-FFF2-40B4-BE49-F238E27FC236}">
              <a16:creationId xmlns:a16="http://schemas.microsoft.com/office/drawing/2014/main" id="{00000000-0008-0000-0000-00004E08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127" name="Text Box 776">
          <a:extLst>
            <a:ext uri="{FF2B5EF4-FFF2-40B4-BE49-F238E27FC236}">
              <a16:creationId xmlns:a16="http://schemas.microsoft.com/office/drawing/2014/main" id="{00000000-0008-0000-0000-00004F08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85</xdr:col>
      <xdr:colOff>0</xdr:colOff>
      <xdr:row>133</xdr:row>
      <xdr:rowOff>0</xdr:rowOff>
    </xdr:from>
    <xdr:to>
      <xdr:col>86</xdr:col>
      <xdr:colOff>323850</xdr:colOff>
      <xdr:row>134</xdr:row>
      <xdr:rowOff>0</xdr:rowOff>
    </xdr:to>
    <xdr:sp macro="" textlink="">
      <xdr:nvSpPr>
        <xdr:cNvPr id="2128" name="Text Box 777">
          <a:extLst>
            <a:ext uri="{FF2B5EF4-FFF2-40B4-BE49-F238E27FC236}">
              <a16:creationId xmlns:a16="http://schemas.microsoft.com/office/drawing/2014/main" id="{00000000-0008-0000-0000-000050080000}"/>
            </a:ext>
          </a:extLst>
        </xdr:cNvPr>
        <xdr:cNvSpPr>
          <a:spLocks noChangeArrowheads="1"/>
        </xdr:cNvSpPr>
      </xdr:nvSpPr>
      <xdr:spPr bwMode="auto">
        <a:xfrm>
          <a:off x="58959750" y="23907750"/>
          <a:ext cx="1228725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132" name="Text Box 693">
          <a:extLst>
            <a:ext uri="{FF2B5EF4-FFF2-40B4-BE49-F238E27FC236}">
              <a16:creationId xmlns:a16="http://schemas.microsoft.com/office/drawing/2014/main" id="{005C7204-AD6E-4CC6-9F11-659ADBFEFB79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133" name="Text Box 694">
          <a:extLst>
            <a:ext uri="{FF2B5EF4-FFF2-40B4-BE49-F238E27FC236}">
              <a16:creationId xmlns:a16="http://schemas.microsoft.com/office/drawing/2014/main" id="{964CBB3E-94FD-4C6A-B9C9-EBD806FD1520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134" name="Text Box 695">
          <a:extLst>
            <a:ext uri="{FF2B5EF4-FFF2-40B4-BE49-F238E27FC236}">
              <a16:creationId xmlns:a16="http://schemas.microsoft.com/office/drawing/2014/main" id="{E6480303-E3D8-42EC-9F52-66495526469B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135" name="Text Box 696">
          <a:extLst>
            <a:ext uri="{FF2B5EF4-FFF2-40B4-BE49-F238E27FC236}">
              <a16:creationId xmlns:a16="http://schemas.microsoft.com/office/drawing/2014/main" id="{C503265E-65FB-4342-B1FA-E9B2DD38F57A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136" name="Text Box 697">
          <a:extLst>
            <a:ext uri="{FF2B5EF4-FFF2-40B4-BE49-F238E27FC236}">
              <a16:creationId xmlns:a16="http://schemas.microsoft.com/office/drawing/2014/main" id="{07FA4113-D287-44C2-9222-08FC83765FA2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137" name="Text Box 698">
          <a:extLst>
            <a:ext uri="{FF2B5EF4-FFF2-40B4-BE49-F238E27FC236}">
              <a16:creationId xmlns:a16="http://schemas.microsoft.com/office/drawing/2014/main" id="{B4194C7B-6308-4AFC-8D01-D44AF49D7B44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138" name="Text Box 699">
          <a:extLst>
            <a:ext uri="{FF2B5EF4-FFF2-40B4-BE49-F238E27FC236}">
              <a16:creationId xmlns:a16="http://schemas.microsoft.com/office/drawing/2014/main" id="{73068A37-441A-46FF-A402-777E735CD740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139" name="Text Box 700">
          <a:extLst>
            <a:ext uri="{FF2B5EF4-FFF2-40B4-BE49-F238E27FC236}">
              <a16:creationId xmlns:a16="http://schemas.microsoft.com/office/drawing/2014/main" id="{AD3AE3AE-755E-4FDD-AF45-B17EA3B70D0F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140" name="Text Box 701">
          <a:extLst>
            <a:ext uri="{FF2B5EF4-FFF2-40B4-BE49-F238E27FC236}">
              <a16:creationId xmlns:a16="http://schemas.microsoft.com/office/drawing/2014/main" id="{993C98DB-5061-4F3F-B775-3BB28699B4B5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141" name="Text Box 702">
          <a:extLst>
            <a:ext uri="{FF2B5EF4-FFF2-40B4-BE49-F238E27FC236}">
              <a16:creationId xmlns:a16="http://schemas.microsoft.com/office/drawing/2014/main" id="{7C41D929-BA7D-43BA-8874-FE1474EA4EAC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142" name="Text Box 703">
          <a:extLst>
            <a:ext uri="{FF2B5EF4-FFF2-40B4-BE49-F238E27FC236}">
              <a16:creationId xmlns:a16="http://schemas.microsoft.com/office/drawing/2014/main" id="{AC080B04-6DD5-4468-80E3-BC7EE0C66D60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143" name="Text Box 704">
          <a:extLst>
            <a:ext uri="{FF2B5EF4-FFF2-40B4-BE49-F238E27FC236}">
              <a16:creationId xmlns:a16="http://schemas.microsoft.com/office/drawing/2014/main" id="{263D44D0-701A-44E7-B3C5-232CAC207EDA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144" name="Text Box 705">
          <a:extLst>
            <a:ext uri="{FF2B5EF4-FFF2-40B4-BE49-F238E27FC236}">
              <a16:creationId xmlns:a16="http://schemas.microsoft.com/office/drawing/2014/main" id="{E2F60875-EDFF-405A-AF39-94E7915D3A3A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145" name="Text Box 706">
          <a:extLst>
            <a:ext uri="{FF2B5EF4-FFF2-40B4-BE49-F238E27FC236}">
              <a16:creationId xmlns:a16="http://schemas.microsoft.com/office/drawing/2014/main" id="{8626513F-EE90-4B19-A9B1-E0D82B2DBB87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146" name="Text Box 707">
          <a:extLst>
            <a:ext uri="{FF2B5EF4-FFF2-40B4-BE49-F238E27FC236}">
              <a16:creationId xmlns:a16="http://schemas.microsoft.com/office/drawing/2014/main" id="{ECF46059-ECB5-4A7C-897E-BE3B6265411B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147" name="Text Box 708">
          <a:extLst>
            <a:ext uri="{FF2B5EF4-FFF2-40B4-BE49-F238E27FC236}">
              <a16:creationId xmlns:a16="http://schemas.microsoft.com/office/drawing/2014/main" id="{F7AD8AC8-2EEA-44A8-9031-F455A2A6B868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148" name="Text Box 709">
          <a:extLst>
            <a:ext uri="{FF2B5EF4-FFF2-40B4-BE49-F238E27FC236}">
              <a16:creationId xmlns:a16="http://schemas.microsoft.com/office/drawing/2014/main" id="{F695F66D-93F1-450D-8601-E6E82FFC30D9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149" name="Text Box 710">
          <a:extLst>
            <a:ext uri="{FF2B5EF4-FFF2-40B4-BE49-F238E27FC236}">
              <a16:creationId xmlns:a16="http://schemas.microsoft.com/office/drawing/2014/main" id="{0983E779-F250-4C09-9183-4B52766A841B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150" name="Text Box 711">
          <a:extLst>
            <a:ext uri="{FF2B5EF4-FFF2-40B4-BE49-F238E27FC236}">
              <a16:creationId xmlns:a16="http://schemas.microsoft.com/office/drawing/2014/main" id="{A0227F8C-8DD2-4CBA-9825-0636DA70D0F5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151" name="Text Box 712">
          <a:extLst>
            <a:ext uri="{FF2B5EF4-FFF2-40B4-BE49-F238E27FC236}">
              <a16:creationId xmlns:a16="http://schemas.microsoft.com/office/drawing/2014/main" id="{7FC92754-6EAA-4719-B3CD-08679023B82C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152" name="Text Box 713">
          <a:extLst>
            <a:ext uri="{FF2B5EF4-FFF2-40B4-BE49-F238E27FC236}">
              <a16:creationId xmlns:a16="http://schemas.microsoft.com/office/drawing/2014/main" id="{B6DA88D9-E0AF-43E5-844A-5442BAFF790D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153" name="Text Box 714">
          <a:extLst>
            <a:ext uri="{FF2B5EF4-FFF2-40B4-BE49-F238E27FC236}">
              <a16:creationId xmlns:a16="http://schemas.microsoft.com/office/drawing/2014/main" id="{5B203FD0-E6F4-4907-AB15-A1F8ECC5B0C2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154" name="Text Box 715">
          <a:extLst>
            <a:ext uri="{FF2B5EF4-FFF2-40B4-BE49-F238E27FC236}">
              <a16:creationId xmlns:a16="http://schemas.microsoft.com/office/drawing/2014/main" id="{04CB3090-702C-425E-97CB-78021F418E08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155" name="Text Box 716">
          <a:extLst>
            <a:ext uri="{FF2B5EF4-FFF2-40B4-BE49-F238E27FC236}">
              <a16:creationId xmlns:a16="http://schemas.microsoft.com/office/drawing/2014/main" id="{887F857A-2837-4E56-AD71-C8FE470D426C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156" name="Text Box 717">
          <a:extLst>
            <a:ext uri="{FF2B5EF4-FFF2-40B4-BE49-F238E27FC236}">
              <a16:creationId xmlns:a16="http://schemas.microsoft.com/office/drawing/2014/main" id="{878C4B95-2E24-4C56-98D1-C4C46C3941E1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157" name="Text Box 718">
          <a:extLst>
            <a:ext uri="{FF2B5EF4-FFF2-40B4-BE49-F238E27FC236}">
              <a16:creationId xmlns:a16="http://schemas.microsoft.com/office/drawing/2014/main" id="{CF69EA23-007C-4C8D-ABA9-652EEB80F53B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158" name="Text Box 719">
          <a:extLst>
            <a:ext uri="{FF2B5EF4-FFF2-40B4-BE49-F238E27FC236}">
              <a16:creationId xmlns:a16="http://schemas.microsoft.com/office/drawing/2014/main" id="{B026E997-0A20-47B9-8DF8-E4EDEECDF21D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159" name="Text Box 720">
          <a:extLst>
            <a:ext uri="{FF2B5EF4-FFF2-40B4-BE49-F238E27FC236}">
              <a16:creationId xmlns:a16="http://schemas.microsoft.com/office/drawing/2014/main" id="{B56A56C0-4D10-478D-9E47-C7B7BC0878BA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160" name="Text Box 721">
          <a:extLst>
            <a:ext uri="{FF2B5EF4-FFF2-40B4-BE49-F238E27FC236}">
              <a16:creationId xmlns:a16="http://schemas.microsoft.com/office/drawing/2014/main" id="{07E8071F-2063-4B50-B4E7-DEF3B22AC800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161" name="Text Box 722">
          <a:extLst>
            <a:ext uri="{FF2B5EF4-FFF2-40B4-BE49-F238E27FC236}">
              <a16:creationId xmlns:a16="http://schemas.microsoft.com/office/drawing/2014/main" id="{C35B4783-4656-40CD-8175-9803ADBFA39B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162" name="Text Box 723">
          <a:extLst>
            <a:ext uri="{FF2B5EF4-FFF2-40B4-BE49-F238E27FC236}">
              <a16:creationId xmlns:a16="http://schemas.microsoft.com/office/drawing/2014/main" id="{292F5529-5728-4DB4-BC37-29D1142549F7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163" name="Text Box 724">
          <a:extLst>
            <a:ext uri="{FF2B5EF4-FFF2-40B4-BE49-F238E27FC236}">
              <a16:creationId xmlns:a16="http://schemas.microsoft.com/office/drawing/2014/main" id="{0229133D-889E-4D6B-B5A6-FFC427D515E3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164" name="Text Box 725">
          <a:extLst>
            <a:ext uri="{FF2B5EF4-FFF2-40B4-BE49-F238E27FC236}">
              <a16:creationId xmlns:a16="http://schemas.microsoft.com/office/drawing/2014/main" id="{00E1D759-3CB1-4C76-9CB6-ED36ADB280A5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165" name="Text Box 726">
          <a:extLst>
            <a:ext uri="{FF2B5EF4-FFF2-40B4-BE49-F238E27FC236}">
              <a16:creationId xmlns:a16="http://schemas.microsoft.com/office/drawing/2014/main" id="{5B80F0C7-B54F-4988-972E-AB4176A5DBBE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166" name="Text Box 727">
          <a:extLst>
            <a:ext uri="{FF2B5EF4-FFF2-40B4-BE49-F238E27FC236}">
              <a16:creationId xmlns:a16="http://schemas.microsoft.com/office/drawing/2014/main" id="{AFD5379A-8844-4EEA-96DF-BA4CE8543436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167" name="Text Box 728">
          <a:extLst>
            <a:ext uri="{FF2B5EF4-FFF2-40B4-BE49-F238E27FC236}">
              <a16:creationId xmlns:a16="http://schemas.microsoft.com/office/drawing/2014/main" id="{41C3FBD8-BA1E-477E-AF21-E549928EAB50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168" name="Text Box 729">
          <a:extLst>
            <a:ext uri="{FF2B5EF4-FFF2-40B4-BE49-F238E27FC236}">
              <a16:creationId xmlns:a16="http://schemas.microsoft.com/office/drawing/2014/main" id="{1E9A1619-2D36-4ACA-A951-C22265485EBF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169" name="Text Box 730">
          <a:extLst>
            <a:ext uri="{FF2B5EF4-FFF2-40B4-BE49-F238E27FC236}">
              <a16:creationId xmlns:a16="http://schemas.microsoft.com/office/drawing/2014/main" id="{3FFCCDF3-6629-41BC-BB74-475A5B9FE44A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170" name="Text Box 731">
          <a:extLst>
            <a:ext uri="{FF2B5EF4-FFF2-40B4-BE49-F238E27FC236}">
              <a16:creationId xmlns:a16="http://schemas.microsoft.com/office/drawing/2014/main" id="{D72A3C37-9665-46B8-86B0-5B5DE4297210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171" name="Text Box 732">
          <a:extLst>
            <a:ext uri="{FF2B5EF4-FFF2-40B4-BE49-F238E27FC236}">
              <a16:creationId xmlns:a16="http://schemas.microsoft.com/office/drawing/2014/main" id="{487342D9-9187-4B61-898A-7005F5457368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172" name="Text Box 733">
          <a:extLst>
            <a:ext uri="{FF2B5EF4-FFF2-40B4-BE49-F238E27FC236}">
              <a16:creationId xmlns:a16="http://schemas.microsoft.com/office/drawing/2014/main" id="{77AA21C1-21F4-4EBC-A351-6F32D4792244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173" name="Text Box 734">
          <a:extLst>
            <a:ext uri="{FF2B5EF4-FFF2-40B4-BE49-F238E27FC236}">
              <a16:creationId xmlns:a16="http://schemas.microsoft.com/office/drawing/2014/main" id="{977E12AA-E047-4F5A-92E8-BB8AC767A0B8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174" name="Text Box 735">
          <a:extLst>
            <a:ext uri="{FF2B5EF4-FFF2-40B4-BE49-F238E27FC236}">
              <a16:creationId xmlns:a16="http://schemas.microsoft.com/office/drawing/2014/main" id="{BC310DF4-3C3B-4516-A17C-10F4ED581515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175" name="Text Box 736">
          <a:extLst>
            <a:ext uri="{FF2B5EF4-FFF2-40B4-BE49-F238E27FC236}">
              <a16:creationId xmlns:a16="http://schemas.microsoft.com/office/drawing/2014/main" id="{C49A1729-1955-4E18-803C-97E185997779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176" name="Text Box 737">
          <a:extLst>
            <a:ext uri="{FF2B5EF4-FFF2-40B4-BE49-F238E27FC236}">
              <a16:creationId xmlns:a16="http://schemas.microsoft.com/office/drawing/2014/main" id="{45F5EE04-1F15-4C25-A1EB-01C8E012C11D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177" name="Text Box 738">
          <a:extLst>
            <a:ext uri="{FF2B5EF4-FFF2-40B4-BE49-F238E27FC236}">
              <a16:creationId xmlns:a16="http://schemas.microsoft.com/office/drawing/2014/main" id="{B7810004-5DAE-4B13-ACD9-C9951656C11F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178" name="Text Box 739">
          <a:extLst>
            <a:ext uri="{FF2B5EF4-FFF2-40B4-BE49-F238E27FC236}">
              <a16:creationId xmlns:a16="http://schemas.microsoft.com/office/drawing/2014/main" id="{909DDE9F-513A-4FBF-A91D-18C8C72EB30F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179" name="Text Box 740">
          <a:extLst>
            <a:ext uri="{FF2B5EF4-FFF2-40B4-BE49-F238E27FC236}">
              <a16:creationId xmlns:a16="http://schemas.microsoft.com/office/drawing/2014/main" id="{86812C29-0E18-4E58-9683-2DF1BF143697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180" name="Text Box 741">
          <a:extLst>
            <a:ext uri="{FF2B5EF4-FFF2-40B4-BE49-F238E27FC236}">
              <a16:creationId xmlns:a16="http://schemas.microsoft.com/office/drawing/2014/main" id="{20F9FF15-72D0-49DA-BD79-78F51E6D41A5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181" name="Text Box 742">
          <a:extLst>
            <a:ext uri="{FF2B5EF4-FFF2-40B4-BE49-F238E27FC236}">
              <a16:creationId xmlns:a16="http://schemas.microsoft.com/office/drawing/2014/main" id="{65DBF184-EBA2-4B14-B936-057A8B64360A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182" name="Text Box 743">
          <a:extLst>
            <a:ext uri="{FF2B5EF4-FFF2-40B4-BE49-F238E27FC236}">
              <a16:creationId xmlns:a16="http://schemas.microsoft.com/office/drawing/2014/main" id="{57F0F2BA-C272-4531-832B-40BFECE84058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183" name="Text Box 744">
          <a:extLst>
            <a:ext uri="{FF2B5EF4-FFF2-40B4-BE49-F238E27FC236}">
              <a16:creationId xmlns:a16="http://schemas.microsoft.com/office/drawing/2014/main" id="{331266E1-ED3E-4266-BD07-B97A2A65D02C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184" name="Text Box 745">
          <a:extLst>
            <a:ext uri="{FF2B5EF4-FFF2-40B4-BE49-F238E27FC236}">
              <a16:creationId xmlns:a16="http://schemas.microsoft.com/office/drawing/2014/main" id="{A8A3855F-4335-4AE7-BC6F-60429F90BB75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185" name="Text Box 746">
          <a:extLst>
            <a:ext uri="{FF2B5EF4-FFF2-40B4-BE49-F238E27FC236}">
              <a16:creationId xmlns:a16="http://schemas.microsoft.com/office/drawing/2014/main" id="{17BC83A2-62B7-4914-9E1A-B62D0BA382E1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186" name="Text Box 747">
          <a:extLst>
            <a:ext uri="{FF2B5EF4-FFF2-40B4-BE49-F238E27FC236}">
              <a16:creationId xmlns:a16="http://schemas.microsoft.com/office/drawing/2014/main" id="{47C7474C-9AFF-4C9F-96D2-1C25C1D4F494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187" name="Text Box 748">
          <a:extLst>
            <a:ext uri="{FF2B5EF4-FFF2-40B4-BE49-F238E27FC236}">
              <a16:creationId xmlns:a16="http://schemas.microsoft.com/office/drawing/2014/main" id="{6BF0817F-752D-48C4-9BD5-0A1E81BE572F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188" name="Text Box 749">
          <a:extLst>
            <a:ext uri="{FF2B5EF4-FFF2-40B4-BE49-F238E27FC236}">
              <a16:creationId xmlns:a16="http://schemas.microsoft.com/office/drawing/2014/main" id="{B530115C-0811-4A71-9B74-2C91AE0FAEE7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189" name="Text Box 750">
          <a:extLst>
            <a:ext uri="{FF2B5EF4-FFF2-40B4-BE49-F238E27FC236}">
              <a16:creationId xmlns:a16="http://schemas.microsoft.com/office/drawing/2014/main" id="{0F419A97-D91D-4A22-94F7-9FA455939F84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190" name="Text Box 751">
          <a:extLst>
            <a:ext uri="{FF2B5EF4-FFF2-40B4-BE49-F238E27FC236}">
              <a16:creationId xmlns:a16="http://schemas.microsoft.com/office/drawing/2014/main" id="{135156C6-336D-43CC-BF8C-A334D3EA0D6F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191" name="Text Box 752">
          <a:extLst>
            <a:ext uri="{FF2B5EF4-FFF2-40B4-BE49-F238E27FC236}">
              <a16:creationId xmlns:a16="http://schemas.microsoft.com/office/drawing/2014/main" id="{3918EAD7-F672-41FB-9ED4-DA633A372193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192" name="Text Box 753">
          <a:extLst>
            <a:ext uri="{FF2B5EF4-FFF2-40B4-BE49-F238E27FC236}">
              <a16:creationId xmlns:a16="http://schemas.microsoft.com/office/drawing/2014/main" id="{94DEDAAC-09B2-48C4-AB86-68468399B961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193" name="Text Box 754">
          <a:extLst>
            <a:ext uri="{FF2B5EF4-FFF2-40B4-BE49-F238E27FC236}">
              <a16:creationId xmlns:a16="http://schemas.microsoft.com/office/drawing/2014/main" id="{DA73460E-DA7A-4FF1-BE20-66DDFD1D86B9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194" name="Text Box 755">
          <a:extLst>
            <a:ext uri="{FF2B5EF4-FFF2-40B4-BE49-F238E27FC236}">
              <a16:creationId xmlns:a16="http://schemas.microsoft.com/office/drawing/2014/main" id="{039A0DF6-DE7C-40BD-BF30-07ED44EA3103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195" name="Text Box 756">
          <a:extLst>
            <a:ext uri="{FF2B5EF4-FFF2-40B4-BE49-F238E27FC236}">
              <a16:creationId xmlns:a16="http://schemas.microsoft.com/office/drawing/2014/main" id="{61B07775-978C-48F7-9753-A8BFFDE14F7F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196" name="Text Box 757">
          <a:extLst>
            <a:ext uri="{FF2B5EF4-FFF2-40B4-BE49-F238E27FC236}">
              <a16:creationId xmlns:a16="http://schemas.microsoft.com/office/drawing/2014/main" id="{B9C1B7FC-0E4A-47AB-BE06-441C5EA6D10D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197" name="Text Box 758">
          <a:extLst>
            <a:ext uri="{FF2B5EF4-FFF2-40B4-BE49-F238E27FC236}">
              <a16:creationId xmlns:a16="http://schemas.microsoft.com/office/drawing/2014/main" id="{1556D5BC-F10F-4B4C-A2C2-40D8575A52E6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198" name="Text Box 759">
          <a:extLst>
            <a:ext uri="{FF2B5EF4-FFF2-40B4-BE49-F238E27FC236}">
              <a16:creationId xmlns:a16="http://schemas.microsoft.com/office/drawing/2014/main" id="{47391425-0B41-42B3-81E6-0B5D93637298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199" name="Text Box 760">
          <a:extLst>
            <a:ext uri="{FF2B5EF4-FFF2-40B4-BE49-F238E27FC236}">
              <a16:creationId xmlns:a16="http://schemas.microsoft.com/office/drawing/2014/main" id="{78507C78-5C41-46AC-809A-58FB7EE158DE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200" name="Text Box 761">
          <a:extLst>
            <a:ext uri="{FF2B5EF4-FFF2-40B4-BE49-F238E27FC236}">
              <a16:creationId xmlns:a16="http://schemas.microsoft.com/office/drawing/2014/main" id="{B63AD5DE-05D1-4034-B432-3DBA8C37BAE4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201" name="Text Box 762">
          <a:extLst>
            <a:ext uri="{FF2B5EF4-FFF2-40B4-BE49-F238E27FC236}">
              <a16:creationId xmlns:a16="http://schemas.microsoft.com/office/drawing/2014/main" id="{1B13A767-6260-4DA4-96EE-BB07140C9A51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202" name="Text Box 763">
          <a:extLst>
            <a:ext uri="{FF2B5EF4-FFF2-40B4-BE49-F238E27FC236}">
              <a16:creationId xmlns:a16="http://schemas.microsoft.com/office/drawing/2014/main" id="{2740A608-4EC6-4725-91D7-6FDBDC768ED4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203" name="Text Box 764">
          <a:extLst>
            <a:ext uri="{FF2B5EF4-FFF2-40B4-BE49-F238E27FC236}">
              <a16:creationId xmlns:a16="http://schemas.microsoft.com/office/drawing/2014/main" id="{79439B59-E597-45AB-8302-3782AA9CCFD7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204" name="Text Box 765">
          <a:extLst>
            <a:ext uri="{FF2B5EF4-FFF2-40B4-BE49-F238E27FC236}">
              <a16:creationId xmlns:a16="http://schemas.microsoft.com/office/drawing/2014/main" id="{B40FA006-BA17-42D2-97E2-B6B44B357ED4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205" name="Text Box 766">
          <a:extLst>
            <a:ext uri="{FF2B5EF4-FFF2-40B4-BE49-F238E27FC236}">
              <a16:creationId xmlns:a16="http://schemas.microsoft.com/office/drawing/2014/main" id="{84861EFC-6894-409B-A239-7BAD0EEC749D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206" name="Text Box 767">
          <a:extLst>
            <a:ext uri="{FF2B5EF4-FFF2-40B4-BE49-F238E27FC236}">
              <a16:creationId xmlns:a16="http://schemas.microsoft.com/office/drawing/2014/main" id="{64EC7450-6BB3-402E-AA06-20AB85D3B432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207" name="Text Box 768">
          <a:extLst>
            <a:ext uri="{FF2B5EF4-FFF2-40B4-BE49-F238E27FC236}">
              <a16:creationId xmlns:a16="http://schemas.microsoft.com/office/drawing/2014/main" id="{C1371C63-DA4B-4030-AF8A-94553A16A87D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208" name="Text Box 769">
          <a:extLst>
            <a:ext uri="{FF2B5EF4-FFF2-40B4-BE49-F238E27FC236}">
              <a16:creationId xmlns:a16="http://schemas.microsoft.com/office/drawing/2014/main" id="{3EFCA4B2-0417-4B41-BCC4-ACA7A5D45447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209" name="Text Box 770">
          <a:extLst>
            <a:ext uri="{FF2B5EF4-FFF2-40B4-BE49-F238E27FC236}">
              <a16:creationId xmlns:a16="http://schemas.microsoft.com/office/drawing/2014/main" id="{49CEEFE0-65AC-448F-95B4-052D08BAE48F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210" name="Text Box 771">
          <a:extLst>
            <a:ext uri="{FF2B5EF4-FFF2-40B4-BE49-F238E27FC236}">
              <a16:creationId xmlns:a16="http://schemas.microsoft.com/office/drawing/2014/main" id="{BC6D48E8-2BD5-4F91-B8C9-AB5A50F3C27B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211" name="Text Box 772">
          <a:extLst>
            <a:ext uri="{FF2B5EF4-FFF2-40B4-BE49-F238E27FC236}">
              <a16:creationId xmlns:a16="http://schemas.microsoft.com/office/drawing/2014/main" id="{74C36CAD-01B3-4FC5-AD35-6C156E6F7521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212" name="Text Box 773">
          <a:extLst>
            <a:ext uri="{FF2B5EF4-FFF2-40B4-BE49-F238E27FC236}">
              <a16:creationId xmlns:a16="http://schemas.microsoft.com/office/drawing/2014/main" id="{BE2E646A-FB63-4F8D-9265-069F88ED4054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213" name="Text Box 774">
          <a:extLst>
            <a:ext uri="{FF2B5EF4-FFF2-40B4-BE49-F238E27FC236}">
              <a16:creationId xmlns:a16="http://schemas.microsoft.com/office/drawing/2014/main" id="{06A6DACE-4951-46D7-A449-1F208A501085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214" name="Text Box 775">
          <a:extLst>
            <a:ext uri="{FF2B5EF4-FFF2-40B4-BE49-F238E27FC236}">
              <a16:creationId xmlns:a16="http://schemas.microsoft.com/office/drawing/2014/main" id="{AFE3C302-5B43-4361-900D-3F6772CDD0D2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2215" name="Text Box 776">
          <a:extLst>
            <a:ext uri="{FF2B5EF4-FFF2-40B4-BE49-F238E27FC236}">
              <a16:creationId xmlns:a16="http://schemas.microsoft.com/office/drawing/2014/main" id="{BF78AB23-E611-4CCF-8B45-89515FF48E8C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190500</xdr:colOff>
      <xdr:row>132</xdr:row>
      <xdr:rowOff>259773</xdr:rowOff>
    </xdr:from>
    <xdr:to>
      <xdr:col>13</xdr:col>
      <xdr:colOff>514350</xdr:colOff>
      <xdr:row>133</xdr:row>
      <xdr:rowOff>380999</xdr:rowOff>
    </xdr:to>
    <xdr:sp macro="" textlink="">
      <xdr:nvSpPr>
        <xdr:cNvPr id="2216" name="Text Box 777">
          <a:extLst>
            <a:ext uri="{FF2B5EF4-FFF2-40B4-BE49-F238E27FC236}">
              <a16:creationId xmlns:a16="http://schemas.microsoft.com/office/drawing/2014/main" id="{7C98FF5B-F765-4CF4-A97F-BE65CEF7A6A9}"/>
            </a:ext>
          </a:extLst>
        </xdr:cNvPr>
        <xdr:cNvSpPr>
          <a:spLocks noChangeArrowheads="1"/>
        </xdr:cNvSpPr>
      </xdr:nvSpPr>
      <xdr:spPr bwMode="auto">
        <a:xfrm>
          <a:off x="18651682" y="33164318"/>
          <a:ext cx="1259032" cy="43295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217" name="Text Box 693">
          <a:extLst>
            <a:ext uri="{FF2B5EF4-FFF2-40B4-BE49-F238E27FC236}">
              <a16:creationId xmlns:a16="http://schemas.microsoft.com/office/drawing/2014/main" id="{ABFC48DF-8572-402C-B2FB-AF5B665BB951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218" name="Text Box 694">
          <a:extLst>
            <a:ext uri="{FF2B5EF4-FFF2-40B4-BE49-F238E27FC236}">
              <a16:creationId xmlns:a16="http://schemas.microsoft.com/office/drawing/2014/main" id="{81A09477-864F-42D1-9718-68254CF06D9F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219" name="Text Box 695">
          <a:extLst>
            <a:ext uri="{FF2B5EF4-FFF2-40B4-BE49-F238E27FC236}">
              <a16:creationId xmlns:a16="http://schemas.microsoft.com/office/drawing/2014/main" id="{67D23E4E-C2DD-4935-8924-DF9080124B6D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220" name="Text Box 696">
          <a:extLst>
            <a:ext uri="{FF2B5EF4-FFF2-40B4-BE49-F238E27FC236}">
              <a16:creationId xmlns:a16="http://schemas.microsoft.com/office/drawing/2014/main" id="{43B46AA2-6DEE-4631-8389-C8188356AE7D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221" name="Text Box 697">
          <a:extLst>
            <a:ext uri="{FF2B5EF4-FFF2-40B4-BE49-F238E27FC236}">
              <a16:creationId xmlns:a16="http://schemas.microsoft.com/office/drawing/2014/main" id="{74B0E658-F3DE-4371-B0F7-B3F2602E83BC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222" name="Text Box 698">
          <a:extLst>
            <a:ext uri="{FF2B5EF4-FFF2-40B4-BE49-F238E27FC236}">
              <a16:creationId xmlns:a16="http://schemas.microsoft.com/office/drawing/2014/main" id="{1247E5EA-3A81-42AF-ABDE-59BAF7CF6471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223" name="Text Box 699">
          <a:extLst>
            <a:ext uri="{FF2B5EF4-FFF2-40B4-BE49-F238E27FC236}">
              <a16:creationId xmlns:a16="http://schemas.microsoft.com/office/drawing/2014/main" id="{115118DA-FC06-4E29-9116-74F4C490365F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224" name="Text Box 700">
          <a:extLst>
            <a:ext uri="{FF2B5EF4-FFF2-40B4-BE49-F238E27FC236}">
              <a16:creationId xmlns:a16="http://schemas.microsoft.com/office/drawing/2014/main" id="{A32CEF50-EAAB-468D-9FD4-89EB759F0163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225" name="Text Box 701">
          <a:extLst>
            <a:ext uri="{FF2B5EF4-FFF2-40B4-BE49-F238E27FC236}">
              <a16:creationId xmlns:a16="http://schemas.microsoft.com/office/drawing/2014/main" id="{4ED75769-BED8-49FC-B46F-090036088EA9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226" name="Text Box 702">
          <a:extLst>
            <a:ext uri="{FF2B5EF4-FFF2-40B4-BE49-F238E27FC236}">
              <a16:creationId xmlns:a16="http://schemas.microsoft.com/office/drawing/2014/main" id="{55F1055A-8D8F-4BFF-BA83-6E6E4D2EA907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227" name="Text Box 703">
          <a:extLst>
            <a:ext uri="{FF2B5EF4-FFF2-40B4-BE49-F238E27FC236}">
              <a16:creationId xmlns:a16="http://schemas.microsoft.com/office/drawing/2014/main" id="{58662F0F-6DF8-40CE-9689-0D04D5E8E035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228" name="Text Box 704">
          <a:extLst>
            <a:ext uri="{FF2B5EF4-FFF2-40B4-BE49-F238E27FC236}">
              <a16:creationId xmlns:a16="http://schemas.microsoft.com/office/drawing/2014/main" id="{9A769759-C550-44C1-BFDB-FF2EC3095C7E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229" name="Text Box 705">
          <a:extLst>
            <a:ext uri="{FF2B5EF4-FFF2-40B4-BE49-F238E27FC236}">
              <a16:creationId xmlns:a16="http://schemas.microsoft.com/office/drawing/2014/main" id="{7BBFAA11-03D0-47DC-A52A-E68FC89029DD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230" name="Text Box 706">
          <a:extLst>
            <a:ext uri="{FF2B5EF4-FFF2-40B4-BE49-F238E27FC236}">
              <a16:creationId xmlns:a16="http://schemas.microsoft.com/office/drawing/2014/main" id="{F1BA356B-33C8-4980-90E0-7B8F9D0423EB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231" name="Text Box 707">
          <a:extLst>
            <a:ext uri="{FF2B5EF4-FFF2-40B4-BE49-F238E27FC236}">
              <a16:creationId xmlns:a16="http://schemas.microsoft.com/office/drawing/2014/main" id="{BF5C57B7-5DD8-4A3E-A180-D788E1F87595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232" name="Text Box 708">
          <a:extLst>
            <a:ext uri="{FF2B5EF4-FFF2-40B4-BE49-F238E27FC236}">
              <a16:creationId xmlns:a16="http://schemas.microsoft.com/office/drawing/2014/main" id="{97AAACE4-35A6-457E-9220-C0ACCD994FAE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233" name="Text Box 709">
          <a:extLst>
            <a:ext uri="{FF2B5EF4-FFF2-40B4-BE49-F238E27FC236}">
              <a16:creationId xmlns:a16="http://schemas.microsoft.com/office/drawing/2014/main" id="{62C611E8-8BCE-4E68-8B0C-EE11515A2D53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234" name="Text Box 710">
          <a:extLst>
            <a:ext uri="{FF2B5EF4-FFF2-40B4-BE49-F238E27FC236}">
              <a16:creationId xmlns:a16="http://schemas.microsoft.com/office/drawing/2014/main" id="{08CBA7D3-945E-4114-9537-F7C0E4DFA509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235" name="Text Box 711">
          <a:extLst>
            <a:ext uri="{FF2B5EF4-FFF2-40B4-BE49-F238E27FC236}">
              <a16:creationId xmlns:a16="http://schemas.microsoft.com/office/drawing/2014/main" id="{795A93E7-CD4B-49C8-97D8-4A0592D7B673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236" name="Text Box 712">
          <a:extLst>
            <a:ext uri="{FF2B5EF4-FFF2-40B4-BE49-F238E27FC236}">
              <a16:creationId xmlns:a16="http://schemas.microsoft.com/office/drawing/2014/main" id="{86FF64FF-2712-40D5-A2FE-AD15DF6983BF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237" name="Text Box 713">
          <a:extLst>
            <a:ext uri="{FF2B5EF4-FFF2-40B4-BE49-F238E27FC236}">
              <a16:creationId xmlns:a16="http://schemas.microsoft.com/office/drawing/2014/main" id="{F188D2CC-B3FD-4F10-A874-3B414A0B93E7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238" name="Text Box 714">
          <a:extLst>
            <a:ext uri="{FF2B5EF4-FFF2-40B4-BE49-F238E27FC236}">
              <a16:creationId xmlns:a16="http://schemas.microsoft.com/office/drawing/2014/main" id="{1BA6B933-5167-4FD5-B6BD-30F95298A713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239" name="Text Box 715">
          <a:extLst>
            <a:ext uri="{FF2B5EF4-FFF2-40B4-BE49-F238E27FC236}">
              <a16:creationId xmlns:a16="http://schemas.microsoft.com/office/drawing/2014/main" id="{8576564B-02B5-4037-9995-156CFDE1B0E9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240" name="Text Box 716">
          <a:extLst>
            <a:ext uri="{FF2B5EF4-FFF2-40B4-BE49-F238E27FC236}">
              <a16:creationId xmlns:a16="http://schemas.microsoft.com/office/drawing/2014/main" id="{6A6102B2-1D12-47F0-AF4E-2BCBE643FB67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241" name="Text Box 717">
          <a:extLst>
            <a:ext uri="{FF2B5EF4-FFF2-40B4-BE49-F238E27FC236}">
              <a16:creationId xmlns:a16="http://schemas.microsoft.com/office/drawing/2014/main" id="{96F9A809-91FF-4121-88B3-0A4BCBD57EC9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242" name="Text Box 718">
          <a:extLst>
            <a:ext uri="{FF2B5EF4-FFF2-40B4-BE49-F238E27FC236}">
              <a16:creationId xmlns:a16="http://schemas.microsoft.com/office/drawing/2014/main" id="{0FE41DB5-5A3B-4EA0-8511-4A446B73D84C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243" name="Text Box 719">
          <a:extLst>
            <a:ext uri="{FF2B5EF4-FFF2-40B4-BE49-F238E27FC236}">
              <a16:creationId xmlns:a16="http://schemas.microsoft.com/office/drawing/2014/main" id="{BCA1717F-4775-4D62-B1A9-B9A8CAE286C0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244" name="Text Box 720">
          <a:extLst>
            <a:ext uri="{FF2B5EF4-FFF2-40B4-BE49-F238E27FC236}">
              <a16:creationId xmlns:a16="http://schemas.microsoft.com/office/drawing/2014/main" id="{F5CDBF5F-EED0-4E41-8FB2-E87960F63C2E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245" name="Text Box 721">
          <a:extLst>
            <a:ext uri="{FF2B5EF4-FFF2-40B4-BE49-F238E27FC236}">
              <a16:creationId xmlns:a16="http://schemas.microsoft.com/office/drawing/2014/main" id="{0021A07D-33A4-4343-8449-CCA535C0EE5B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246" name="Text Box 722">
          <a:extLst>
            <a:ext uri="{FF2B5EF4-FFF2-40B4-BE49-F238E27FC236}">
              <a16:creationId xmlns:a16="http://schemas.microsoft.com/office/drawing/2014/main" id="{1E4E9665-C9F8-4938-8369-4A0A5F8A1B76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247" name="Text Box 723">
          <a:extLst>
            <a:ext uri="{FF2B5EF4-FFF2-40B4-BE49-F238E27FC236}">
              <a16:creationId xmlns:a16="http://schemas.microsoft.com/office/drawing/2014/main" id="{814C8AA4-2755-4407-9BB8-C57DF36CA7E8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248" name="Text Box 724">
          <a:extLst>
            <a:ext uri="{FF2B5EF4-FFF2-40B4-BE49-F238E27FC236}">
              <a16:creationId xmlns:a16="http://schemas.microsoft.com/office/drawing/2014/main" id="{54B460B3-F990-4117-8591-3E918BDD9619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249" name="Text Box 725">
          <a:extLst>
            <a:ext uri="{FF2B5EF4-FFF2-40B4-BE49-F238E27FC236}">
              <a16:creationId xmlns:a16="http://schemas.microsoft.com/office/drawing/2014/main" id="{510474A2-D8BD-43A1-89F7-DA7D65A4F707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250" name="Text Box 726">
          <a:extLst>
            <a:ext uri="{FF2B5EF4-FFF2-40B4-BE49-F238E27FC236}">
              <a16:creationId xmlns:a16="http://schemas.microsoft.com/office/drawing/2014/main" id="{EF773FBD-9D3E-4FD8-B954-41E689CE3303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251" name="Text Box 727">
          <a:extLst>
            <a:ext uri="{FF2B5EF4-FFF2-40B4-BE49-F238E27FC236}">
              <a16:creationId xmlns:a16="http://schemas.microsoft.com/office/drawing/2014/main" id="{C4558AFD-6E4D-4BF2-A963-0E618D1EF105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252" name="Text Box 728">
          <a:extLst>
            <a:ext uri="{FF2B5EF4-FFF2-40B4-BE49-F238E27FC236}">
              <a16:creationId xmlns:a16="http://schemas.microsoft.com/office/drawing/2014/main" id="{A775EDBA-CE2C-45BC-AD69-57B1150DD64B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253" name="Text Box 729">
          <a:extLst>
            <a:ext uri="{FF2B5EF4-FFF2-40B4-BE49-F238E27FC236}">
              <a16:creationId xmlns:a16="http://schemas.microsoft.com/office/drawing/2014/main" id="{380EC4F6-B0CA-4DAE-A026-1230BD15847E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254" name="Text Box 730">
          <a:extLst>
            <a:ext uri="{FF2B5EF4-FFF2-40B4-BE49-F238E27FC236}">
              <a16:creationId xmlns:a16="http://schemas.microsoft.com/office/drawing/2014/main" id="{524DD28D-CC8C-47B4-AB72-1396A2DF40E3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255" name="Text Box 731">
          <a:extLst>
            <a:ext uri="{FF2B5EF4-FFF2-40B4-BE49-F238E27FC236}">
              <a16:creationId xmlns:a16="http://schemas.microsoft.com/office/drawing/2014/main" id="{9F6D3825-A031-4DA0-AF61-F4F7598314F4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256" name="Text Box 732">
          <a:extLst>
            <a:ext uri="{FF2B5EF4-FFF2-40B4-BE49-F238E27FC236}">
              <a16:creationId xmlns:a16="http://schemas.microsoft.com/office/drawing/2014/main" id="{3583C200-C486-4CA3-AD7B-BB6940903AA2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257" name="Text Box 733">
          <a:extLst>
            <a:ext uri="{FF2B5EF4-FFF2-40B4-BE49-F238E27FC236}">
              <a16:creationId xmlns:a16="http://schemas.microsoft.com/office/drawing/2014/main" id="{98E30C39-178E-482B-B977-48E628CE499E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258" name="Text Box 734">
          <a:extLst>
            <a:ext uri="{FF2B5EF4-FFF2-40B4-BE49-F238E27FC236}">
              <a16:creationId xmlns:a16="http://schemas.microsoft.com/office/drawing/2014/main" id="{7B45E9EA-E937-480D-A610-4BC5A6C5F89D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259" name="Text Box 735">
          <a:extLst>
            <a:ext uri="{FF2B5EF4-FFF2-40B4-BE49-F238E27FC236}">
              <a16:creationId xmlns:a16="http://schemas.microsoft.com/office/drawing/2014/main" id="{3B02D298-2C1F-4C3F-95FB-74A1F744C358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260" name="Text Box 736">
          <a:extLst>
            <a:ext uri="{FF2B5EF4-FFF2-40B4-BE49-F238E27FC236}">
              <a16:creationId xmlns:a16="http://schemas.microsoft.com/office/drawing/2014/main" id="{2974679F-2B97-4E25-AE99-2645C95F8E66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261" name="Text Box 737">
          <a:extLst>
            <a:ext uri="{FF2B5EF4-FFF2-40B4-BE49-F238E27FC236}">
              <a16:creationId xmlns:a16="http://schemas.microsoft.com/office/drawing/2014/main" id="{C15B23B7-C86C-4DCA-802D-68FCCB1885C1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262" name="Text Box 738">
          <a:extLst>
            <a:ext uri="{FF2B5EF4-FFF2-40B4-BE49-F238E27FC236}">
              <a16:creationId xmlns:a16="http://schemas.microsoft.com/office/drawing/2014/main" id="{91CFD04E-29E0-4DE5-8958-D4B8BCA08C93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263" name="Text Box 739">
          <a:extLst>
            <a:ext uri="{FF2B5EF4-FFF2-40B4-BE49-F238E27FC236}">
              <a16:creationId xmlns:a16="http://schemas.microsoft.com/office/drawing/2014/main" id="{11851FDE-C537-43EA-AC9A-2924C9F0E24D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264" name="Text Box 740">
          <a:extLst>
            <a:ext uri="{FF2B5EF4-FFF2-40B4-BE49-F238E27FC236}">
              <a16:creationId xmlns:a16="http://schemas.microsoft.com/office/drawing/2014/main" id="{DC43993E-D00A-465E-845C-FC01FB640EA9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265" name="Text Box 741">
          <a:extLst>
            <a:ext uri="{FF2B5EF4-FFF2-40B4-BE49-F238E27FC236}">
              <a16:creationId xmlns:a16="http://schemas.microsoft.com/office/drawing/2014/main" id="{5CCACDCD-A400-45E5-BA49-7B1F570D29B5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266" name="Text Box 742">
          <a:extLst>
            <a:ext uri="{FF2B5EF4-FFF2-40B4-BE49-F238E27FC236}">
              <a16:creationId xmlns:a16="http://schemas.microsoft.com/office/drawing/2014/main" id="{602F4ADD-02E8-4166-8D77-0DE919D4E20F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267" name="Text Box 743">
          <a:extLst>
            <a:ext uri="{FF2B5EF4-FFF2-40B4-BE49-F238E27FC236}">
              <a16:creationId xmlns:a16="http://schemas.microsoft.com/office/drawing/2014/main" id="{F16B8BFD-7E55-4E47-8D83-297066A6927E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268" name="Text Box 744">
          <a:extLst>
            <a:ext uri="{FF2B5EF4-FFF2-40B4-BE49-F238E27FC236}">
              <a16:creationId xmlns:a16="http://schemas.microsoft.com/office/drawing/2014/main" id="{9C889ED7-BD88-4355-B2FF-8292FEDE2B0F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269" name="Text Box 745">
          <a:extLst>
            <a:ext uri="{FF2B5EF4-FFF2-40B4-BE49-F238E27FC236}">
              <a16:creationId xmlns:a16="http://schemas.microsoft.com/office/drawing/2014/main" id="{64C6003E-4D65-4071-8EDC-F746062146EE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270" name="Text Box 746">
          <a:extLst>
            <a:ext uri="{FF2B5EF4-FFF2-40B4-BE49-F238E27FC236}">
              <a16:creationId xmlns:a16="http://schemas.microsoft.com/office/drawing/2014/main" id="{B65D1E73-5C4B-40F4-AFC4-A864C501C3F5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271" name="Text Box 747">
          <a:extLst>
            <a:ext uri="{FF2B5EF4-FFF2-40B4-BE49-F238E27FC236}">
              <a16:creationId xmlns:a16="http://schemas.microsoft.com/office/drawing/2014/main" id="{9F96EF50-B075-461C-8E3D-77C9A9DB003C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272" name="Text Box 748">
          <a:extLst>
            <a:ext uri="{FF2B5EF4-FFF2-40B4-BE49-F238E27FC236}">
              <a16:creationId xmlns:a16="http://schemas.microsoft.com/office/drawing/2014/main" id="{734C742A-EF2C-4D3D-B302-A9634B9F831B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273" name="Text Box 749">
          <a:extLst>
            <a:ext uri="{FF2B5EF4-FFF2-40B4-BE49-F238E27FC236}">
              <a16:creationId xmlns:a16="http://schemas.microsoft.com/office/drawing/2014/main" id="{86E5C32B-D129-4575-A458-71440075E442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274" name="Text Box 750">
          <a:extLst>
            <a:ext uri="{FF2B5EF4-FFF2-40B4-BE49-F238E27FC236}">
              <a16:creationId xmlns:a16="http://schemas.microsoft.com/office/drawing/2014/main" id="{8C6D2A67-15F4-42DE-AC2A-2CE010A03CEB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275" name="Text Box 751">
          <a:extLst>
            <a:ext uri="{FF2B5EF4-FFF2-40B4-BE49-F238E27FC236}">
              <a16:creationId xmlns:a16="http://schemas.microsoft.com/office/drawing/2014/main" id="{0DAC4D86-0C3D-4EB8-B6E2-06EDC1E366BE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276" name="Text Box 752">
          <a:extLst>
            <a:ext uri="{FF2B5EF4-FFF2-40B4-BE49-F238E27FC236}">
              <a16:creationId xmlns:a16="http://schemas.microsoft.com/office/drawing/2014/main" id="{314EE0B9-5DA5-48AA-A93B-F39E6E4F0B8E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277" name="Text Box 753">
          <a:extLst>
            <a:ext uri="{FF2B5EF4-FFF2-40B4-BE49-F238E27FC236}">
              <a16:creationId xmlns:a16="http://schemas.microsoft.com/office/drawing/2014/main" id="{7B36B989-E748-459E-91CE-72DF14FC0CDE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278" name="Text Box 754">
          <a:extLst>
            <a:ext uri="{FF2B5EF4-FFF2-40B4-BE49-F238E27FC236}">
              <a16:creationId xmlns:a16="http://schemas.microsoft.com/office/drawing/2014/main" id="{68F9696E-9CE6-4389-8463-C4834D1E1323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279" name="Text Box 755">
          <a:extLst>
            <a:ext uri="{FF2B5EF4-FFF2-40B4-BE49-F238E27FC236}">
              <a16:creationId xmlns:a16="http://schemas.microsoft.com/office/drawing/2014/main" id="{E463743E-AAE4-4490-9775-D234DAF5CA59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280" name="Text Box 756">
          <a:extLst>
            <a:ext uri="{FF2B5EF4-FFF2-40B4-BE49-F238E27FC236}">
              <a16:creationId xmlns:a16="http://schemas.microsoft.com/office/drawing/2014/main" id="{A11C9B75-8D4A-469A-BD63-667E76476D12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281" name="Text Box 757">
          <a:extLst>
            <a:ext uri="{FF2B5EF4-FFF2-40B4-BE49-F238E27FC236}">
              <a16:creationId xmlns:a16="http://schemas.microsoft.com/office/drawing/2014/main" id="{73C71ACD-2618-4B2C-BA58-7A4606CE66C6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282" name="Text Box 758">
          <a:extLst>
            <a:ext uri="{FF2B5EF4-FFF2-40B4-BE49-F238E27FC236}">
              <a16:creationId xmlns:a16="http://schemas.microsoft.com/office/drawing/2014/main" id="{B19B4BE2-BD39-4F2B-B3FD-F7987E0A7187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283" name="Text Box 759">
          <a:extLst>
            <a:ext uri="{FF2B5EF4-FFF2-40B4-BE49-F238E27FC236}">
              <a16:creationId xmlns:a16="http://schemas.microsoft.com/office/drawing/2014/main" id="{D94F30E1-1CC7-4AFC-8601-CDE2A01F1487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284" name="Text Box 760">
          <a:extLst>
            <a:ext uri="{FF2B5EF4-FFF2-40B4-BE49-F238E27FC236}">
              <a16:creationId xmlns:a16="http://schemas.microsoft.com/office/drawing/2014/main" id="{37204AD7-0842-4234-9232-90B90AB7A830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285" name="Text Box 761">
          <a:extLst>
            <a:ext uri="{FF2B5EF4-FFF2-40B4-BE49-F238E27FC236}">
              <a16:creationId xmlns:a16="http://schemas.microsoft.com/office/drawing/2014/main" id="{738D976E-4113-435D-87A6-B9CD4BC250F1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286" name="Text Box 762">
          <a:extLst>
            <a:ext uri="{FF2B5EF4-FFF2-40B4-BE49-F238E27FC236}">
              <a16:creationId xmlns:a16="http://schemas.microsoft.com/office/drawing/2014/main" id="{872226F2-5BB6-4127-9B15-8CC3B83D3D66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287" name="Text Box 763">
          <a:extLst>
            <a:ext uri="{FF2B5EF4-FFF2-40B4-BE49-F238E27FC236}">
              <a16:creationId xmlns:a16="http://schemas.microsoft.com/office/drawing/2014/main" id="{A1E4D272-04A4-4683-A151-DB7C57697362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288" name="Text Box 764">
          <a:extLst>
            <a:ext uri="{FF2B5EF4-FFF2-40B4-BE49-F238E27FC236}">
              <a16:creationId xmlns:a16="http://schemas.microsoft.com/office/drawing/2014/main" id="{CFA61B3E-6A32-4D7E-8C27-E2E591168E33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289" name="Text Box 765">
          <a:extLst>
            <a:ext uri="{FF2B5EF4-FFF2-40B4-BE49-F238E27FC236}">
              <a16:creationId xmlns:a16="http://schemas.microsoft.com/office/drawing/2014/main" id="{E9DF2CBD-AD78-4127-BAFF-EF01785D19BF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290" name="Text Box 766">
          <a:extLst>
            <a:ext uri="{FF2B5EF4-FFF2-40B4-BE49-F238E27FC236}">
              <a16:creationId xmlns:a16="http://schemas.microsoft.com/office/drawing/2014/main" id="{6F38C30C-8432-46C5-B15A-501E6C500361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291" name="Text Box 767">
          <a:extLst>
            <a:ext uri="{FF2B5EF4-FFF2-40B4-BE49-F238E27FC236}">
              <a16:creationId xmlns:a16="http://schemas.microsoft.com/office/drawing/2014/main" id="{068A8C24-EE06-406F-B7E0-636216853A92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292" name="Text Box 768">
          <a:extLst>
            <a:ext uri="{FF2B5EF4-FFF2-40B4-BE49-F238E27FC236}">
              <a16:creationId xmlns:a16="http://schemas.microsoft.com/office/drawing/2014/main" id="{717F19D6-6648-4AEA-A94C-C77889DF24BC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293" name="Text Box 769">
          <a:extLst>
            <a:ext uri="{FF2B5EF4-FFF2-40B4-BE49-F238E27FC236}">
              <a16:creationId xmlns:a16="http://schemas.microsoft.com/office/drawing/2014/main" id="{A7C035C1-A583-484F-972F-45B9A598BC49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294" name="Text Box 770">
          <a:extLst>
            <a:ext uri="{FF2B5EF4-FFF2-40B4-BE49-F238E27FC236}">
              <a16:creationId xmlns:a16="http://schemas.microsoft.com/office/drawing/2014/main" id="{3CEA3C52-6F97-4B98-8785-59939F157A58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295" name="Text Box 771">
          <a:extLst>
            <a:ext uri="{FF2B5EF4-FFF2-40B4-BE49-F238E27FC236}">
              <a16:creationId xmlns:a16="http://schemas.microsoft.com/office/drawing/2014/main" id="{E2F90D3C-D969-429C-95E1-C5A47D66BE4D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296" name="Text Box 772">
          <a:extLst>
            <a:ext uri="{FF2B5EF4-FFF2-40B4-BE49-F238E27FC236}">
              <a16:creationId xmlns:a16="http://schemas.microsoft.com/office/drawing/2014/main" id="{BB0DCCA1-8565-4793-BD3F-69C6F5A7CA7B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297" name="Text Box 773">
          <a:extLst>
            <a:ext uri="{FF2B5EF4-FFF2-40B4-BE49-F238E27FC236}">
              <a16:creationId xmlns:a16="http://schemas.microsoft.com/office/drawing/2014/main" id="{7CB9F83B-BFA9-43CF-824C-60958768885F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298" name="Text Box 774">
          <a:extLst>
            <a:ext uri="{FF2B5EF4-FFF2-40B4-BE49-F238E27FC236}">
              <a16:creationId xmlns:a16="http://schemas.microsoft.com/office/drawing/2014/main" id="{81BD1F28-1B45-4C1C-8716-8384ED6A1F94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299" name="Text Box 775">
          <a:extLst>
            <a:ext uri="{FF2B5EF4-FFF2-40B4-BE49-F238E27FC236}">
              <a16:creationId xmlns:a16="http://schemas.microsoft.com/office/drawing/2014/main" id="{5DB82AF9-749F-41AA-A4C4-6E2478FC3C68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300" name="Text Box 776">
          <a:extLst>
            <a:ext uri="{FF2B5EF4-FFF2-40B4-BE49-F238E27FC236}">
              <a16:creationId xmlns:a16="http://schemas.microsoft.com/office/drawing/2014/main" id="{95AFEDA1-1A63-4DDB-B153-CEB8BD116664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0</xdr:colOff>
      <xdr:row>133</xdr:row>
      <xdr:rowOff>0</xdr:rowOff>
    </xdr:from>
    <xdr:to>
      <xdr:col>17</xdr:col>
      <xdr:colOff>323850</xdr:colOff>
      <xdr:row>134</xdr:row>
      <xdr:rowOff>0</xdr:rowOff>
    </xdr:to>
    <xdr:sp macro="" textlink="">
      <xdr:nvSpPr>
        <xdr:cNvPr id="2301" name="Text Box 777">
          <a:extLst>
            <a:ext uri="{FF2B5EF4-FFF2-40B4-BE49-F238E27FC236}">
              <a16:creationId xmlns:a16="http://schemas.microsoft.com/office/drawing/2014/main" id="{C96F434B-428F-40EA-AD21-BE30AFEC309C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2302" name="Text Box 693">
          <a:extLst>
            <a:ext uri="{FF2B5EF4-FFF2-40B4-BE49-F238E27FC236}">
              <a16:creationId xmlns:a16="http://schemas.microsoft.com/office/drawing/2014/main" id="{1E6719CE-690D-4DB9-A867-0BC40E29499E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2303" name="Text Box 694">
          <a:extLst>
            <a:ext uri="{FF2B5EF4-FFF2-40B4-BE49-F238E27FC236}">
              <a16:creationId xmlns:a16="http://schemas.microsoft.com/office/drawing/2014/main" id="{B01F5ED8-6600-4A4C-8E09-C7EDE8C9339C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2304" name="Text Box 695">
          <a:extLst>
            <a:ext uri="{FF2B5EF4-FFF2-40B4-BE49-F238E27FC236}">
              <a16:creationId xmlns:a16="http://schemas.microsoft.com/office/drawing/2014/main" id="{58E9E7D2-CAFA-4DA3-9E10-2FAC545FCE90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2305" name="Text Box 696">
          <a:extLst>
            <a:ext uri="{FF2B5EF4-FFF2-40B4-BE49-F238E27FC236}">
              <a16:creationId xmlns:a16="http://schemas.microsoft.com/office/drawing/2014/main" id="{C7694F81-212E-4FC7-8FD6-622F029CC950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2306" name="Text Box 697">
          <a:extLst>
            <a:ext uri="{FF2B5EF4-FFF2-40B4-BE49-F238E27FC236}">
              <a16:creationId xmlns:a16="http://schemas.microsoft.com/office/drawing/2014/main" id="{651837FD-0A86-41DB-9FD5-46849A29040E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2307" name="Text Box 698">
          <a:extLst>
            <a:ext uri="{FF2B5EF4-FFF2-40B4-BE49-F238E27FC236}">
              <a16:creationId xmlns:a16="http://schemas.microsoft.com/office/drawing/2014/main" id="{1D1DD744-35E3-4DE8-A2E8-F400296C2D15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2308" name="Text Box 699">
          <a:extLst>
            <a:ext uri="{FF2B5EF4-FFF2-40B4-BE49-F238E27FC236}">
              <a16:creationId xmlns:a16="http://schemas.microsoft.com/office/drawing/2014/main" id="{7332E8E2-A96E-4221-9ADA-331D00A7E2C2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2309" name="Text Box 700">
          <a:extLst>
            <a:ext uri="{FF2B5EF4-FFF2-40B4-BE49-F238E27FC236}">
              <a16:creationId xmlns:a16="http://schemas.microsoft.com/office/drawing/2014/main" id="{2166B04A-7444-4D85-8601-B62BE142EF7C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2310" name="Text Box 701">
          <a:extLst>
            <a:ext uri="{FF2B5EF4-FFF2-40B4-BE49-F238E27FC236}">
              <a16:creationId xmlns:a16="http://schemas.microsoft.com/office/drawing/2014/main" id="{BC3BD788-C4C7-4A09-9CD8-E9FAF1CB1860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2311" name="Text Box 702">
          <a:extLst>
            <a:ext uri="{FF2B5EF4-FFF2-40B4-BE49-F238E27FC236}">
              <a16:creationId xmlns:a16="http://schemas.microsoft.com/office/drawing/2014/main" id="{9E5EB45B-533F-470E-BE7D-50E11102EBF9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2312" name="Text Box 703">
          <a:extLst>
            <a:ext uri="{FF2B5EF4-FFF2-40B4-BE49-F238E27FC236}">
              <a16:creationId xmlns:a16="http://schemas.microsoft.com/office/drawing/2014/main" id="{FFE6722A-B311-4ACD-8FA4-0821BCBA1ACA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2313" name="Text Box 704">
          <a:extLst>
            <a:ext uri="{FF2B5EF4-FFF2-40B4-BE49-F238E27FC236}">
              <a16:creationId xmlns:a16="http://schemas.microsoft.com/office/drawing/2014/main" id="{4E51F353-6031-420E-9F17-CB51B00E6FC3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2314" name="Text Box 705">
          <a:extLst>
            <a:ext uri="{FF2B5EF4-FFF2-40B4-BE49-F238E27FC236}">
              <a16:creationId xmlns:a16="http://schemas.microsoft.com/office/drawing/2014/main" id="{3A11BB2F-2628-4575-A499-BEC1DC3DDC53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2315" name="Text Box 706">
          <a:extLst>
            <a:ext uri="{FF2B5EF4-FFF2-40B4-BE49-F238E27FC236}">
              <a16:creationId xmlns:a16="http://schemas.microsoft.com/office/drawing/2014/main" id="{DA012AD5-76E9-4882-BFDA-35A52455B5F2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2316" name="Text Box 707">
          <a:extLst>
            <a:ext uri="{FF2B5EF4-FFF2-40B4-BE49-F238E27FC236}">
              <a16:creationId xmlns:a16="http://schemas.microsoft.com/office/drawing/2014/main" id="{C79F6F2E-04A2-4BAB-8763-901351A55164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2317" name="Text Box 708">
          <a:extLst>
            <a:ext uri="{FF2B5EF4-FFF2-40B4-BE49-F238E27FC236}">
              <a16:creationId xmlns:a16="http://schemas.microsoft.com/office/drawing/2014/main" id="{E6086093-6334-4B88-A5FA-2CE20E81BA3C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2318" name="Text Box 709">
          <a:extLst>
            <a:ext uri="{FF2B5EF4-FFF2-40B4-BE49-F238E27FC236}">
              <a16:creationId xmlns:a16="http://schemas.microsoft.com/office/drawing/2014/main" id="{70F4B6CD-EDFD-459F-8098-A26638568583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2319" name="Text Box 710">
          <a:extLst>
            <a:ext uri="{FF2B5EF4-FFF2-40B4-BE49-F238E27FC236}">
              <a16:creationId xmlns:a16="http://schemas.microsoft.com/office/drawing/2014/main" id="{475CA7CE-095C-4641-ABAB-14D93BD381E6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2320" name="Text Box 711">
          <a:extLst>
            <a:ext uri="{FF2B5EF4-FFF2-40B4-BE49-F238E27FC236}">
              <a16:creationId xmlns:a16="http://schemas.microsoft.com/office/drawing/2014/main" id="{F1E55111-88C6-4C34-A075-E7382CAA6E52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2321" name="Text Box 712">
          <a:extLst>
            <a:ext uri="{FF2B5EF4-FFF2-40B4-BE49-F238E27FC236}">
              <a16:creationId xmlns:a16="http://schemas.microsoft.com/office/drawing/2014/main" id="{E7035D9A-E484-4B3C-818C-CC176FCA8A50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2322" name="Text Box 713">
          <a:extLst>
            <a:ext uri="{FF2B5EF4-FFF2-40B4-BE49-F238E27FC236}">
              <a16:creationId xmlns:a16="http://schemas.microsoft.com/office/drawing/2014/main" id="{3A9E6C80-1A34-49D1-8709-034139822867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2323" name="Text Box 714">
          <a:extLst>
            <a:ext uri="{FF2B5EF4-FFF2-40B4-BE49-F238E27FC236}">
              <a16:creationId xmlns:a16="http://schemas.microsoft.com/office/drawing/2014/main" id="{5A3AB3AC-A90A-4F4E-B584-3601CAECD96F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2324" name="Text Box 715">
          <a:extLst>
            <a:ext uri="{FF2B5EF4-FFF2-40B4-BE49-F238E27FC236}">
              <a16:creationId xmlns:a16="http://schemas.microsoft.com/office/drawing/2014/main" id="{E90133CC-2A22-4398-914C-6B9FFBC1763E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2325" name="Text Box 716">
          <a:extLst>
            <a:ext uri="{FF2B5EF4-FFF2-40B4-BE49-F238E27FC236}">
              <a16:creationId xmlns:a16="http://schemas.microsoft.com/office/drawing/2014/main" id="{3379B67E-4C94-4904-B76D-6CA5BF988353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2326" name="Text Box 717">
          <a:extLst>
            <a:ext uri="{FF2B5EF4-FFF2-40B4-BE49-F238E27FC236}">
              <a16:creationId xmlns:a16="http://schemas.microsoft.com/office/drawing/2014/main" id="{1A877988-A781-4E56-B2A2-C3D395552D45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2327" name="Text Box 718">
          <a:extLst>
            <a:ext uri="{FF2B5EF4-FFF2-40B4-BE49-F238E27FC236}">
              <a16:creationId xmlns:a16="http://schemas.microsoft.com/office/drawing/2014/main" id="{323D30C4-0418-45B7-A2A3-19BBF204C075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2328" name="Text Box 719">
          <a:extLst>
            <a:ext uri="{FF2B5EF4-FFF2-40B4-BE49-F238E27FC236}">
              <a16:creationId xmlns:a16="http://schemas.microsoft.com/office/drawing/2014/main" id="{B8C2A98D-4BFD-4952-92AC-963A8B873E75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2329" name="Text Box 720">
          <a:extLst>
            <a:ext uri="{FF2B5EF4-FFF2-40B4-BE49-F238E27FC236}">
              <a16:creationId xmlns:a16="http://schemas.microsoft.com/office/drawing/2014/main" id="{CBB58121-2169-4263-A186-2EB50732B541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2330" name="Text Box 721">
          <a:extLst>
            <a:ext uri="{FF2B5EF4-FFF2-40B4-BE49-F238E27FC236}">
              <a16:creationId xmlns:a16="http://schemas.microsoft.com/office/drawing/2014/main" id="{0E756449-CDE7-4101-9B72-49DAFAA50EB4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2331" name="Text Box 722">
          <a:extLst>
            <a:ext uri="{FF2B5EF4-FFF2-40B4-BE49-F238E27FC236}">
              <a16:creationId xmlns:a16="http://schemas.microsoft.com/office/drawing/2014/main" id="{28D8E431-683D-4BF4-B3AD-E302FBF67226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2332" name="Text Box 723">
          <a:extLst>
            <a:ext uri="{FF2B5EF4-FFF2-40B4-BE49-F238E27FC236}">
              <a16:creationId xmlns:a16="http://schemas.microsoft.com/office/drawing/2014/main" id="{8F65ADD7-7F7E-42D2-B39A-4C84709189A6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2333" name="Text Box 724">
          <a:extLst>
            <a:ext uri="{FF2B5EF4-FFF2-40B4-BE49-F238E27FC236}">
              <a16:creationId xmlns:a16="http://schemas.microsoft.com/office/drawing/2014/main" id="{C067801C-CBE3-4820-9EEF-08B65EDD1012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2334" name="Text Box 725">
          <a:extLst>
            <a:ext uri="{FF2B5EF4-FFF2-40B4-BE49-F238E27FC236}">
              <a16:creationId xmlns:a16="http://schemas.microsoft.com/office/drawing/2014/main" id="{6382E0ED-D6F8-43B4-8982-36DC41E3493C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2335" name="Text Box 726">
          <a:extLst>
            <a:ext uri="{FF2B5EF4-FFF2-40B4-BE49-F238E27FC236}">
              <a16:creationId xmlns:a16="http://schemas.microsoft.com/office/drawing/2014/main" id="{D265E7AF-8DB8-4F10-99C5-4D877527F008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2336" name="Text Box 727">
          <a:extLst>
            <a:ext uri="{FF2B5EF4-FFF2-40B4-BE49-F238E27FC236}">
              <a16:creationId xmlns:a16="http://schemas.microsoft.com/office/drawing/2014/main" id="{79E2EF23-2A47-437B-9058-7D673B632BD3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2337" name="Text Box 728">
          <a:extLst>
            <a:ext uri="{FF2B5EF4-FFF2-40B4-BE49-F238E27FC236}">
              <a16:creationId xmlns:a16="http://schemas.microsoft.com/office/drawing/2014/main" id="{486B2A5E-052E-48D1-A200-3380A035D61D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2338" name="Text Box 729">
          <a:extLst>
            <a:ext uri="{FF2B5EF4-FFF2-40B4-BE49-F238E27FC236}">
              <a16:creationId xmlns:a16="http://schemas.microsoft.com/office/drawing/2014/main" id="{BD158970-6505-4755-95E1-6288D6DB1F47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2339" name="Text Box 730">
          <a:extLst>
            <a:ext uri="{FF2B5EF4-FFF2-40B4-BE49-F238E27FC236}">
              <a16:creationId xmlns:a16="http://schemas.microsoft.com/office/drawing/2014/main" id="{53F7B9C9-EE9C-40F9-87C9-02D312424988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2340" name="Text Box 731">
          <a:extLst>
            <a:ext uri="{FF2B5EF4-FFF2-40B4-BE49-F238E27FC236}">
              <a16:creationId xmlns:a16="http://schemas.microsoft.com/office/drawing/2014/main" id="{03C16C03-E1E8-4E85-AD7F-D72A1EE53238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2341" name="Text Box 732">
          <a:extLst>
            <a:ext uri="{FF2B5EF4-FFF2-40B4-BE49-F238E27FC236}">
              <a16:creationId xmlns:a16="http://schemas.microsoft.com/office/drawing/2014/main" id="{956EB20D-920B-4F7C-9545-43C9CE935E0E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2342" name="Text Box 733">
          <a:extLst>
            <a:ext uri="{FF2B5EF4-FFF2-40B4-BE49-F238E27FC236}">
              <a16:creationId xmlns:a16="http://schemas.microsoft.com/office/drawing/2014/main" id="{AF549F56-3FC7-45A0-9216-A171467D8CCD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2343" name="Text Box 734">
          <a:extLst>
            <a:ext uri="{FF2B5EF4-FFF2-40B4-BE49-F238E27FC236}">
              <a16:creationId xmlns:a16="http://schemas.microsoft.com/office/drawing/2014/main" id="{E39FAE42-72BD-45EA-B6A7-8823A7752D6B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2344" name="Text Box 735">
          <a:extLst>
            <a:ext uri="{FF2B5EF4-FFF2-40B4-BE49-F238E27FC236}">
              <a16:creationId xmlns:a16="http://schemas.microsoft.com/office/drawing/2014/main" id="{B588CA04-957B-47F0-B2F1-8FDB7E29872F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2345" name="Text Box 736">
          <a:extLst>
            <a:ext uri="{FF2B5EF4-FFF2-40B4-BE49-F238E27FC236}">
              <a16:creationId xmlns:a16="http://schemas.microsoft.com/office/drawing/2014/main" id="{A37BDB53-D4EA-4C47-B74D-E48921D7D27B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2346" name="Text Box 737">
          <a:extLst>
            <a:ext uri="{FF2B5EF4-FFF2-40B4-BE49-F238E27FC236}">
              <a16:creationId xmlns:a16="http://schemas.microsoft.com/office/drawing/2014/main" id="{806316A8-1F7D-4E10-9D3E-471CD98CDF11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2347" name="Text Box 738">
          <a:extLst>
            <a:ext uri="{FF2B5EF4-FFF2-40B4-BE49-F238E27FC236}">
              <a16:creationId xmlns:a16="http://schemas.microsoft.com/office/drawing/2014/main" id="{A70D109E-C6F7-48DC-B5AE-4F17D2DCD724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2348" name="Text Box 739">
          <a:extLst>
            <a:ext uri="{FF2B5EF4-FFF2-40B4-BE49-F238E27FC236}">
              <a16:creationId xmlns:a16="http://schemas.microsoft.com/office/drawing/2014/main" id="{79BBCE65-001D-4F68-90B3-8CA92B097683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2349" name="Text Box 740">
          <a:extLst>
            <a:ext uri="{FF2B5EF4-FFF2-40B4-BE49-F238E27FC236}">
              <a16:creationId xmlns:a16="http://schemas.microsoft.com/office/drawing/2014/main" id="{568A376F-970B-429D-94CD-1117BE37ECE8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2350" name="Text Box 741">
          <a:extLst>
            <a:ext uri="{FF2B5EF4-FFF2-40B4-BE49-F238E27FC236}">
              <a16:creationId xmlns:a16="http://schemas.microsoft.com/office/drawing/2014/main" id="{78C75764-5766-46E2-BC04-C6A00EF873F8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2351" name="Text Box 742">
          <a:extLst>
            <a:ext uri="{FF2B5EF4-FFF2-40B4-BE49-F238E27FC236}">
              <a16:creationId xmlns:a16="http://schemas.microsoft.com/office/drawing/2014/main" id="{16613329-D5F6-44FA-9B27-C33070DEE34D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2352" name="Text Box 743">
          <a:extLst>
            <a:ext uri="{FF2B5EF4-FFF2-40B4-BE49-F238E27FC236}">
              <a16:creationId xmlns:a16="http://schemas.microsoft.com/office/drawing/2014/main" id="{0FC4F825-9290-41DA-9EC0-1DF922D39D86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2353" name="Text Box 744">
          <a:extLst>
            <a:ext uri="{FF2B5EF4-FFF2-40B4-BE49-F238E27FC236}">
              <a16:creationId xmlns:a16="http://schemas.microsoft.com/office/drawing/2014/main" id="{8DF767BE-0063-49DF-890E-7D4655D7E51C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2354" name="Text Box 745">
          <a:extLst>
            <a:ext uri="{FF2B5EF4-FFF2-40B4-BE49-F238E27FC236}">
              <a16:creationId xmlns:a16="http://schemas.microsoft.com/office/drawing/2014/main" id="{760981F4-7202-43DC-92CE-AFD49F3148A2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2355" name="Text Box 746">
          <a:extLst>
            <a:ext uri="{FF2B5EF4-FFF2-40B4-BE49-F238E27FC236}">
              <a16:creationId xmlns:a16="http://schemas.microsoft.com/office/drawing/2014/main" id="{976ADA12-C03B-43E0-A0E4-D4D76CEB1104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2356" name="Text Box 747">
          <a:extLst>
            <a:ext uri="{FF2B5EF4-FFF2-40B4-BE49-F238E27FC236}">
              <a16:creationId xmlns:a16="http://schemas.microsoft.com/office/drawing/2014/main" id="{5CB82A0D-A493-4B85-920A-C6A3BDE27A4E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2357" name="Text Box 748">
          <a:extLst>
            <a:ext uri="{FF2B5EF4-FFF2-40B4-BE49-F238E27FC236}">
              <a16:creationId xmlns:a16="http://schemas.microsoft.com/office/drawing/2014/main" id="{0237D4AB-8D31-4B78-B192-63BFC8F313F8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2358" name="Text Box 749">
          <a:extLst>
            <a:ext uri="{FF2B5EF4-FFF2-40B4-BE49-F238E27FC236}">
              <a16:creationId xmlns:a16="http://schemas.microsoft.com/office/drawing/2014/main" id="{A9F57D43-44B8-4B94-8C06-0D3E40C2FE84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2359" name="Text Box 750">
          <a:extLst>
            <a:ext uri="{FF2B5EF4-FFF2-40B4-BE49-F238E27FC236}">
              <a16:creationId xmlns:a16="http://schemas.microsoft.com/office/drawing/2014/main" id="{B00CA4DC-EFFA-41BB-AC51-116A3BCCB623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2360" name="Text Box 751">
          <a:extLst>
            <a:ext uri="{FF2B5EF4-FFF2-40B4-BE49-F238E27FC236}">
              <a16:creationId xmlns:a16="http://schemas.microsoft.com/office/drawing/2014/main" id="{F78A0601-A600-4300-930A-9845F44C7A60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2361" name="Text Box 752">
          <a:extLst>
            <a:ext uri="{FF2B5EF4-FFF2-40B4-BE49-F238E27FC236}">
              <a16:creationId xmlns:a16="http://schemas.microsoft.com/office/drawing/2014/main" id="{6DE8211D-34A2-49A2-B76D-A59533D1BB62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2362" name="Text Box 753">
          <a:extLst>
            <a:ext uri="{FF2B5EF4-FFF2-40B4-BE49-F238E27FC236}">
              <a16:creationId xmlns:a16="http://schemas.microsoft.com/office/drawing/2014/main" id="{7F36AE24-09A3-43B5-8387-F817D238EB97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2363" name="Text Box 754">
          <a:extLst>
            <a:ext uri="{FF2B5EF4-FFF2-40B4-BE49-F238E27FC236}">
              <a16:creationId xmlns:a16="http://schemas.microsoft.com/office/drawing/2014/main" id="{689985C2-6051-443A-BBEB-274402904228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2364" name="Text Box 755">
          <a:extLst>
            <a:ext uri="{FF2B5EF4-FFF2-40B4-BE49-F238E27FC236}">
              <a16:creationId xmlns:a16="http://schemas.microsoft.com/office/drawing/2014/main" id="{57149171-93A2-418D-9410-099D66F9D760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2365" name="Text Box 756">
          <a:extLst>
            <a:ext uri="{FF2B5EF4-FFF2-40B4-BE49-F238E27FC236}">
              <a16:creationId xmlns:a16="http://schemas.microsoft.com/office/drawing/2014/main" id="{A3377114-F67F-45A4-89BB-2F08D694B088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2366" name="Text Box 757">
          <a:extLst>
            <a:ext uri="{FF2B5EF4-FFF2-40B4-BE49-F238E27FC236}">
              <a16:creationId xmlns:a16="http://schemas.microsoft.com/office/drawing/2014/main" id="{0DFF6CBE-CF3E-4645-ABCC-1A03AFB8FABF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2367" name="Text Box 758">
          <a:extLst>
            <a:ext uri="{FF2B5EF4-FFF2-40B4-BE49-F238E27FC236}">
              <a16:creationId xmlns:a16="http://schemas.microsoft.com/office/drawing/2014/main" id="{5DBD0AF1-15A2-4158-8222-AE35AD5E70E1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2368" name="Text Box 759">
          <a:extLst>
            <a:ext uri="{FF2B5EF4-FFF2-40B4-BE49-F238E27FC236}">
              <a16:creationId xmlns:a16="http://schemas.microsoft.com/office/drawing/2014/main" id="{A68DA585-8702-450D-A605-4D61410D22D8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2369" name="Text Box 760">
          <a:extLst>
            <a:ext uri="{FF2B5EF4-FFF2-40B4-BE49-F238E27FC236}">
              <a16:creationId xmlns:a16="http://schemas.microsoft.com/office/drawing/2014/main" id="{DD75485F-AD3C-46CE-AE1B-4AF2E50BF810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2370" name="Text Box 761">
          <a:extLst>
            <a:ext uri="{FF2B5EF4-FFF2-40B4-BE49-F238E27FC236}">
              <a16:creationId xmlns:a16="http://schemas.microsoft.com/office/drawing/2014/main" id="{2D646FE4-36BD-431C-9545-CFC3CFD53D89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2371" name="Text Box 762">
          <a:extLst>
            <a:ext uri="{FF2B5EF4-FFF2-40B4-BE49-F238E27FC236}">
              <a16:creationId xmlns:a16="http://schemas.microsoft.com/office/drawing/2014/main" id="{CEC1F4BB-DB95-47E6-858F-3A2EBF419B99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2372" name="Text Box 763">
          <a:extLst>
            <a:ext uri="{FF2B5EF4-FFF2-40B4-BE49-F238E27FC236}">
              <a16:creationId xmlns:a16="http://schemas.microsoft.com/office/drawing/2014/main" id="{18E5384B-456A-4C25-A8A4-5488AD196E92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2373" name="Text Box 764">
          <a:extLst>
            <a:ext uri="{FF2B5EF4-FFF2-40B4-BE49-F238E27FC236}">
              <a16:creationId xmlns:a16="http://schemas.microsoft.com/office/drawing/2014/main" id="{8C986DD9-9A4E-4FF1-BCA6-043E7ED9E783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2374" name="Text Box 765">
          <a:extLst>
            <a:ext uri="{FF2B5EF4-FFF2-40B4-BE49-F238E27FC236}">
              <a16:creationId xmlns:a16="http://schemas.microsoft.com/office/drawing/2014/main" id="{36182EE0-1DBD-46EA-A433-EC256CEBD838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2375" name="Text Box 766">
          <a:extLst>
            <a:ext uri="{FF2B5EF4-FFF2-40B4-BE49-F238E27FC236}">
              <a16:creationId xmlns:a16="http://schemas.microsoft.com/office/drawing/2014/main" id="{3B8E0AF6-7FD1-4B3A-85B6-C68B1B6D3C63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2376" name="Text Box 767">
          <a:extLst>
            <a:ext uri="{FF2B5EF4-FFF2-40B4-BE49-F238E27FC236}">
              <a16:creationId xmlns:a16="http://schemas.microsoft.com/office/drawing/2014/main" id="{AF916D60-89A9-4CFA-80C1-736BA91C2215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2377" name="Text Box 768">
          <a:extLst>
            <a:ext uri="{FF2B5EF4-FFF2-40B4-BE49-F238E27FC236}">
              <a16:creationId xmlns:a16="http://schemas.microsoft.com/office/drawing/2014/main" id="{8E0F1CAC-CE0B-4F8B-8151-B02F8B7F786F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2378" name="Text Box 769">
          <a:extLst>
            <a:ext uri="{FF2B5EF4-FFF2-40B4-BE49-F238E27FC236}">
              <a16:creationId xmlns:a16="http://schemas.microsoft.com/office/drawing/2014/main" id="{AB904A37-A18D-40E6-959B-DE57BA136BAD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2379" name="Text Box 770">
          <a:extLst>
            <a:ext uri="{FF2B5EF4-FFF2-40B4-BE49-F238E27FC236}">
              <a16:creationId xmlns:a16="http://schemas.microsoft.com/office/drawing/2014/main" id="{92631803-C04D-43B8-B808-842717BAC914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2380" name="Text Box 771">
          <a:extLst>
            <a:ext uri="{FF2B5EF4-FFF2-40B4-BE49-F238E27FC236}">
              <a16:creationId xmlns:a16="http://schemas.microsoft.com/office/drawing/2014/main" id="{60F0FFE7-374D-482E-994E-30402E3DA020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2381" name="Text Box 772">
          <a:extLst>
            <a:ext uri="{FF2B5EF4-FFF2-40B4-BE49-F238E27FC236}">
              <a16:creationId xmlns:a16="http://schemas.microsoft.com/office/drawing/2014/main" id="{F2ECF079-F2B5-4E13-8682-E075A7D666AF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2382" name="Text Box 773">
          <a:extLst>
            <a:ext uri="{FF2B5EF4-FFF2-40B4-BE49-F238E27FC236}">
              <a16:creationId xmlns:a16="http://schemas.microsoft.com/office/drawing/2014/main" id="{73E6A094-D073-45C5-865C-73F6377818C9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2383" name="Text Box 774">
          <a:extLst>
            <a:ext uri="{FF2B5EF4-FFF2-40B4-BE49-F238E27FC236}">
              <a16:creationId xmlns:a16="http://schemas.microsoft.com/office/drawing/2014/main" id="{5650A9AE-D4CF-4196-BBD8-F8FC1F9DFE3B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2384" name="Text Box 775">
          <a:extLst>
            <a:ext uri="{FF2B5EF4-FFF2-40B4-BE49-F238E27FC236}">
              <a16:creationId xmlns:a16="http://schemas.microsoft.com/office/drawing/2014/main" id="{958AC60B-493C-46C8-903A-35833C8F4214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2385" name="Text Box 776">
          <a:extLst>
            <a:ext uri="{FF2B5EF4-FFF2-40B4-BE49-F238E27FC236}">
              <a16:creationId xmlns:a16="http://schemas.microsoft.com/office/drawing/2014/main" id="{B71069C2-B9B6-4040-8FB0-1FD346A5C164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0</xdr:colOff>
      <xdr:row>133</xdr:row>
      <xdr:rowOff>0</xdr:rowOff>
    </xdr:from>
    <xdr:to>
      <xdr:col>21</xdr:col>
      <xdr:colOff>323850</xdr:colOff>
      <xdr:row>134</xdr:row>
      <xdr:rowOff>0</xdr:rowOff>
    </xdr:to>
    <xdr:sp macro="" textlink="">
      <xdr:nvSpPr>
        <xdr:cNvPr id="2386" name="Text Box 777">
          <a:extLst>
            <a:ext uri="{FF2B5EF4-FFF2-40B4-BE49-F238E27FC236}">
              <a16:creationId xmlns:a16="http://schemas.microsoft.com/office/drawing/2014/main" id="{5FCA6B0F-E84C-4773-9892-9A0AC2A646AE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2387" name="Text Box 693">
          <a:extLst>
            <a:ext uri="{FF2B5EF4-FFF2-40B4-BE49-F238E27FC236}">
              <a16:creationId xmlns:a16="http://schemas.microsoft.com/office/drawing/2014/main" id="{FC24437E-F9A4-45DA-86F1-F57FAB16DF76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2388" name="Text Box 694">
          <a:extLst>
            <a:ext uri="{FF2B5EF4-FFF2-40B4-BE49-F238E27FC236}">
              <a16:creationId xmlns:a16="http://schemas.microsoft.com/office/drawing/2014/main" id="{1CA50AE8-A477-4F27-8F66-548FDC7C54CA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2389" name="Text Box 695">
          <a:extLst>
            <a:ext uri="{FF2B5EF4-FFF2-40B4-BE49-F238E27FC236}">
              <a16:creationId xmlns:a16="http://schemas.microsoft.com/office/drawing/2014/main" id="{4E624B9D-844C-4EAD-90E1-AAC304621F45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2390" name="Text Box 696">
          <a:extLst>
            <a:ext uri="{FF2B5EF4-FFF2-40B4-BE49-F238E27FC236}">
              <a16:creationId xmlns:a16="http://schemas.microsoft.com/office/drawing/2014/main" id="{93DAC677-B888-4049-B660-F2109DEA22A2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2391" name="Text Box 697">
          <a:extLst>
            <a:ext uri="{FF2B5EF4-FFF2-40B4-BE49-F238E27FC236}">
              <a16:creationId xmlns:a16="http://schemas.microsoft.com/office/drawing/2014/main" id="{C997C96B-D476-47EF-BBC0-39E573CB019D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2392" name="Text Box 698">
          <a:extLst>
            <a:ext uri="{FF2B5EF4-FFF2-40B4-BE49-F238E27FC236}">
              <a16:creationId xmlns:a16="http://schemas.microsoft.com/office/drawing/2014/main" id="{DC2764EB-5B99-4E85-90E9-A0CD7DD091FE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2393" name="Text Box 699">
          <a:extLst>
            <a:ext uri="{FF2B5EF4-FFF2-40B4-BE49-F238E27FC236}">
              <a16:creationId xmlns:a16="http://schemas.microsoft.com/office/drawing/2014/main" id="{CE87F163-F379-4F84-AB87-5D8531C81052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2394" name="Text Box 700">
          <a:extLst>
            <a:ext uri="{FF2B5EF4-FFF2-40B4-BE49-F238E27FC236}">
              <a16:creationId xmlns:a16="http://schemas.microsoft.com/office/drawing/2014/main" id="{BB602B83-E8E8-4256-A069-02B1E303D8E6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2395" name="Text Box 701">
          <a:extLst>
            <a:ext uri="{FF2B5EF4-FFF2-40B4-BE49-F238E27FC236}">
              <a16:creationId xmlns:a16="http://schemas.microsoft.com/office/drawing/2014/main" id="{4D3EBF83-4C08-4F24-809E-30983A1BB613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2396" name="Text Box 702">
          <a:extLst>
            <a:ext uri="{FF2B5EF4-FFF2-40B4-BE49-F238E27FC236}">
              <a16:creationId xmlns:a16="http://schemas.microsoft.com/office/drawing/2014/main" id="{5BFFA543-AE75-4AA5-B2C4-B44223C7B776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2397" name="Text Box 703">
          <a:extLst>
            <a:ext uri="{FF2B5EF4-FFF2-40B4-BE49-F238E27FC236}">
              <a16:creationId xmlns:a16="http://schemas.microsoft.com/office/drawing/2014/main" id="{0BA91DEB-30C8-4022-81FC-3381352E4228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2398" name="Text Box 704">
          <a:extLst>
            <a:ext uri="{FF2B5EF4-FFF2-40B4-BE49-F238E27FC236}">
              <a16:creationId xmlns:a16="http://schemas.microsoft.com/office/drawing/2014/main" id="{A97B1E77-102B-458A-B639-BD36F432FC5A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2399" name="Text Box 705">
          <a:extLst>
            <a:ext uri="{FF2B5EF4-FFF2-40B4-BE49-F238E27FC236}">
              <a16:creationId xmlns:a16="http://schemas.microsoft.com/office/drawing/2014/main" id="{E9D975BD-F551-422F-96D0-B8A13C92CEF6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2400" name="Text Box 706">
          <a:extLst>
            <a:ext uri="{FF2B5EF4-FFF2-40B4-BE49-F238E27FC236}">
              <a16:creationId xmlns:a16="http://schemas.microsoft.com/office/drawing/2014/main" id="{099FAC6A-9EC4-4686-B744-3430E9D8D5BC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2401" name="Text Box 707">
          <a:extLst>
            <a:ext uri="{FF2B5EF4-FFF2-40B4-BE49-F238E27FC236}">
              <a16:creationId xmlns:a16="http://schemas.microsoft.com/office/drawing/2014/main" id="{2796E316-7DDE-49E8-B024-428C2FC0C2A9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2402" name="Text Box 708">
          <a:extLst>
            <a:ext uri="{FF2B5EF4-FFF2-40B4-BE49-F238E27FC236}">
              <a16:creationId xmlns:a16="http://schemas.microsoft.com/office/drawing/2014/main" id="{85763962-637C-4626-B2AF-DC9A049CB9C5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2403" name="Text Box 709">
          <a:extLst>
            <a:ext uri="{FF2B5EF4-FFF2-40B4-BE49-F238E27FC236}">
              <a16:creationId xmlns:a16="http://schemas.microsoft.com/office/drawing/2014/main" id="{F6A0AF21-7B33-4C6D-9A61-BA756E7D250C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2404" name="Text Box 710">
          <a:extLst>
            <a:ext uri="{FF2B5EF4-FFF2-40B4-BE49-F238E27FC236}">
              <a16:creationId xmlns:a16="http://schemas.microsoft.com/office/drawing/2014/main" id="{BE28DFCF-6A13-40B5-952C-38B098A7ACCF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2405" name="Text Box 711">
          <a:extLst>
            <a:ext uri="{FF2B5EF4-FFF2-40B4-BE49-F238E27FC236}">
              <a16:creationId xmlns:a16="http://schemas.microsoft.com/office/drawing/2014/main" id="{D03D4DC8-D40C-4FE3-A9CE-E9500B175E8C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2406" name="Text Box 712">
          <a:extLst>
            <a:ext uri="{FF2B5EF4-FFF2-40B4-BE49-F238E27FC236}">
              <a16:creationId xmlns:a16="http://schemas.microsoft.com/office/drawing/2014/main" id="{DEEFE5CE-15FC-4BC7-9C1D-75AE2A4C79CC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2407" name="Text Box 713">
          <a:extLst>
            <a:ext uri="{FF2B5EF4-FFF2-40B4-BE49-F238E27FC236}">
              <a16:creationId xmlns:a16="http://schemas.microsoft.com/office/drawing/2014/main" id="{F2D7193E-34F9-4E69-B048-B610036B1DC4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2408" name="Text Box 714">
          <a:extLst>
            <a:ext uri="{FF2B5EF4-FFF2-40B4-BE49-F238E27FC236}">
              <a16:creationId xmlns:a16="http://schemas.microsoft.com/office/drawing/2014/main" id="{DB4B63AA-7E5F-482D-9F13-CA75155515D2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2409" name="Text Box 715">
          <a:extLst>
            <a:ext uri="{FF2B5EF4-FFF2-40B4-BE49-F238E27FC236}">
              <a16:creationId xmlns:a16="http://schemas.microsoft.com/office/drawing/2014/main" id="{90B9297C-908B-4DE7-A144-97CACD184F28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2410" name="Text Box 716">
          <a:extLst>
            <a:ext uri="{FF2B5EF4-FFF2-40B4-BE49-F238E27FC236}">
              <a16:creationId xmlns:a16="http://schemas.microsoft.com/office/drawing/2014/main" id="{46B608CE-1E11-4038-BDEA-5929F21E2970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2411" name="Text Box 717">
          <a:extLst>
            <a:ext uri="{FF2B5EF4-FFF2-40B4-BE49-F238E27FC236}">
              <a16:creationId xmlns:a16="http://schemas.microsoft.com/office/drawing/2014/main" id="{38214391-27E3-4FE2-8DAF-040604D72A2C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2412" name="Text Box 718">
          <a:extLst>
            <a:ext uri="{FF2B5EF4-FFF2-40B4-BE49-F238E27FC236}">
              <a16:creationId xmlns:a16="http://schemas.microsoft.com/office/drawing/2014/main" id="{B9E91CC5-0A3D-4423-AD6C-FC9EBAB54A79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2413" name="Text Box 719">
          <a:extLst>
            <a:ext uri="{FF2B5EF4-FFF2-40B4-BE49-F238E27FC236}">
              <a16:creationId xmlns:a16="http://schemas.microsoft.com/office/drawing/2014/main" id="{D3F53075-9752-4D68-AB86-A2850CAB095A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2414" name="Text Box 720">
          <a:extLst>
            <a:ext uri="{FF2B5EF4-FFF2-40B4-BE49-F238E27FC236}">
              <a16:creationId xmlns:a16="http://schemas.microsoft.com/office/drawing/2014/main" id="{9172D1E7-2034-430F-831C-8F426CDF0924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2415" name="Text Box 721">
          <a:extLst>
            <a:ext uri="{FF2B5EF4-FFF2-40B4-BE49-F238E27FC236}">
              <a16:creationId xmlns:a16="http://schemas.microsoft.com/office/drawing/2014/main" id="{C4A6A0A8-6A9A-4BF2-9941-81B399BCEBB2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2416" name="Text Box 722">
          <a:extLst>
            <a:ext uri="{FF2B5EF4-FFF2-40B4-BE49-F238E27FC236}">
              <a16:creationId xmlns:a16="http://schemas.microsoft.com/office/drawing/2014/main" id="{39C8F3D0-BC25-46F7-968F-CCE4C7C37CEB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2417" name="Text Box 723">
          <a:extLst>
            <a:ext uri="{FF2B5EF4-FFF2-40B4-BE49-F238E27FC236}">
              <a16:creationId xmlns:a16="http://schemas.microsoft.com/office/drawing/2014/main" id="{6FF6F8B3-58C1-4EF5-850D-578434A8740D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2418" name="Text Box 724">
          <a:extLst>
            <a:ext uri="{FF2B5EF4-FFF2-40B4-BE49-F238E27FC236}">
              <a16:creationId xmlns:a16="http://schemas.microsoft.com/office/drawing/2014/main" id="{D19B13CC-4F2E-480F-9E90-E6A3544DF2A8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2419" name="Text Box 725">
          <a:extLst>
            <a:ext uri="{FF2B5EF4-FFF2-40B4-BE49-F238E27FC236}">
              <a16:creationId xmlns:a16="http://schemas.microsoft.com/office/drawing/2014/main" id="{17BA596A-54F2-44EB-BDBC-CEF228FF13AF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2420" name="Text Box 726">
          <a:extLst>
            <a:ext uri="{FF2B5EF4-FFF2-40B4-BE49-F238E27FC236}">
              <a16:creationId xmlns:a16="http://schemas.microsoft.com/office/drawing/2014/main" id="{933D492C-B95F-4963-80AC-275AC929B591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2421" name="Text Box 727">
          <a:extLst>
            <a:ext uri="{FF2B5EF4-FFF2-40B4-BE49-F238E27FC236}">
              <a16:creationId xmlns:a16="http://schemas.microsoft.com/office/drawing/2014/main" id="{446EEDD5-A3ED-4F54-8637-4255E68D77D8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2422" name="Text Box 728">
          <a:extLst>
            <a:ext uri="{FF2B5EF4-FFF2-40B4-BE49-F238E27FC236}">
              <a16:creationId xmlns:a16="http://schemas.microsoft.com/office/drawing/2014/main" id="{6F1E003C-F8D8-4F92-88C7-615D6A6192D4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2423" name="Text Box 729">
          <a:extLst>
            <a:ext uri="{FF2B5EF4-FFF2-40B4-BE49-F238E27FC236}">
              <a16:creationId xmlns:a16="http://schemas.microsoft.com/office/drawing/2014/main" id="{8913D52B-A774-4E05-9413-8C80AF93FC3C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2424" name="Text Box 730">
          <a:extLst>
            <a:ext uri="{FF2B5EF4-FFF2-40B4-BE49-F238E27FC236}">
              <a16:creationId xmlns:a16="http://schemas.microsoft.com/office/drawing/2014/main" id="{E284013F-E8FE-40D3-96AE-1929341017F9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2425" name="Text Box 731">
          <a:extLst>
            <a:ext uri="{FF2B5EF4-FFF2-40B4-BE49-F238E27FC236}">
              <a16:creationId xmlns:a16="http://schemas.microsoft.com/office/drawing/2014/main" id="{713916C5-4E15-45F5-8DB7-6A1562DB277F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2426" name="Text Box 732">
          <a:extLst>
            <a:ext uri="{FF2B5EF4-FFF2-40B4-BE49-F238E27FC236}">
              <a16:creationId xmlns:a16="http://schemas.microsoft.com/office/drawing/2014/main" id="{5E374354-D06A-4F78-BD29-5EC8B0E01F0D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2427" name="Text Box 733">
          <a:extLst>
            <a:ext uri="{FF2B5EF4-FFF2-40B4-BE49-F238E27FC236}">
              <a16:creationId xmlns:a16="http://schemas.microsoft.com/office/drawing/2014/main" id="{E74F4F54-7156-4522-849F-766FDCFD7740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2428" name="Text Box 734">
          <a:extLst>
            <a:ext uri="{FF2B5EF4-FFF2-40B4-BE49-F238E27FC236}">
              <a16:creationId xmlns:a16="http://schemas.microsoft.com/office/drawing/2014/main" id="{FC003924-C380-45B6-B4B9-AB5019F54387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2429" name="Text Box 735">
          <a:extLst>
            <a:ext uri="{FF2B5EF4-FFF2-40B4-BE49-F238E27FC236}">
              <a16:creationId xmlns:a16="http://schemas.microsoft.com/office/drawing/2014/main" id="{5B9248C1-FCE4-4969-81AA-297AA2E2763C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2430" name="Text Box 736">
          <a:extLst>
            <a:ext uri="{FF2B5EF4-FFF2-40B4-BE49-F238E27FC236}">
              <a16:creationId xmlns:a16="http://schemas.microsoft.com/office/drawing/2014/main" id="{6C145E54-03F9-4342-BDCD-D599604886BB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2431" name="Text Box 737">
          <a:extLst>
            <a:ext uri="{FF2B5EF4-FFF2-40B4-BE49-F238E27FC236}">
              <a16:creationId xmlns:a16="http://schemas.microsoft.com/office/drawing/2014/main" id="{06C8537F-3ECE-4B60-BCA7-B2C0C967C791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2432" name="Text Box 738">
          <a:extLst>
            <a:ext uri="{FF2B5EF4-FFF2-40B4-BE49-F238E27FC236}">
              <a16:creationId xmlns:a16="http://schemas.microsoft.com/office/drawing/2014/main" id="{99BFDE0F-B028-412D-9F39-ACDDB7C740AF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2433" name="Text Box 739">
          <a:extLst>
            <a:ext uri="{FF2B5EF4-FFF2-40B4-BE49-F238E27FC236}">
              <a16:creationId xmlns:a16="http://schemas.microsoft.com/office/drawing/2014/main" id="{1A97C410-7689-411A-8739-0922DC537828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2434" name="Text Box 740">
          <a:extLst>
            <a:ext uri="{FF2B5EF4-FFF2-40B4-BE49-F238E27FC236}">
              <a16:creationId xmlns:a16="http://schemas.microsoft.com/office/drawing/2014/main" id="{60FCDBEB-A43A-4AB3-897D-D9E8852E82F2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2435" name="Text Box 741">
          <a:extLst>
            <a:ext uri="{FF2B5EF4-FFF2-40B4-BE49-F238E27FC236}">
              <a16:creationId xmlns:a16="http://schemas.microsoft.com/office/drawing/2014/main" id="{24B7A9B6-16FB-45C2-9BBC-FDDA1B5C9306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2436" name="Text Box 742">
          <a:extLst>
            <a:ext uri="{FF2B5EF4-FFF2-40B4-BE49-F238E27FC236}">
              <a16:creationId xmlns:a16="http://schemas.microsoft.com/office/drawing/2014/main" id="{F7010E0E-BB2B-4E45-8782-CEF5D961C344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2437" name="Text Box 743">
          <a:extLst>
            <a:ext uri="{FF2B5EF4-FFF2-40B4-BE49-F238E27FC236}">
              <a16:creationId xmlns:a16="http://schemas.microsoft.com/office/drawing/2014/main" id="{400AB6FC-4243-4EB0-B5B8-A8CD0C63E3DA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2438" name="Text Box 744">
          <a:extLst>
            <a:ext uri="{FF2B5EF4-FFF2-40B4-BE49-F238E27FC236}">
              <a16:creationId xmlns:a16="http://schemas.microsoft.com/office/drawing/2014/main" id="{10471A2D-DFEE-4D43-8A83-4BA455D27FA1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2439" name="Text Box 745">
          <a:extLst>
            <a:ext uri="{FF2B5EF4-FFF2-40B4-BE49-F238E27FC236}">
              <a16:creationId xmlns:a16="http://schemas.microsoft.com/office/drawing/2014/main" id="{38DFA4BA-A6C8-428A-8EBC-2FD4A33D4368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2440" name="Text Box 746">
          <a:extLst>
            <a:ext uri="{FF2B5EF4-FFF2-40B4-BE49-F238E27FC236}">
              <a16:creationId xmlns:a16="http://schemas.microsoft.com/office/drawing/2014/main" id="{293734F1-5210-41ED-9C3A-AAFA28E92E6F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2441" name="Text Box 747">
          <a:extLst>
            <a:ext uri="{FF2B5EF4-FFF2-40B4-BE49-F238E27FC236}">
              <a16:creationId xmlns:a16="http://schemas.microsoft.com/office/drawing/2014/main" id="{551688D1-C5C4-49CC-B8D1-34BF1656F49B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2442" name="Text Box 748">
          <a:extLst>
            <a:ext uri="{FF2B5EF4-FFF2-40B4-BE49-F238E27FC236}">
              <a16:creationId xmlns:a16="http://schemas.microsoft.com/office/drawing/2014/main" id="{D57892C6-6955-490F-9363-E1D26DCDF754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2443" name="Text Box 749">
          <a:extLst>
            <a:ext uri="{FF2B5EF4-FFF2-40B4-BE49-F238E27FC236}">
              <a16:creationId xmlns:a16="http://schemas.microsoft.com/office/drawing/2014/main" id="{36761A6C-D6D8-4BCC-9A44-1EC8F6220CF8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2444" name="Text Box 750">
          <a:extLst>
            <a:ext uri="{FF2B5EF4-FFF2-40B4-BE49-F238E27FC236}">
              <a16:creationId xmlns:a16="http://schemas.microsoft.com/office/drawing/2014/main" id="{450F8940-88EC-4138-96FD-2A08BC55675B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2445" name="Text Box 751">
          <a:extLst>
            <a:ext uri="{FF2B5EF4-FFF2-40B4-BE49-F238E27FC236}">
              <a16:creationId xmlns:a16="http://schemas.microsoft.com/office/drawing/2014/main" id="{9E32BF01-2262-44E4-8658-484221260296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2446" name="Text Box 752">
          <a:extLst>
            <a:ext uri="{FF2B5EF4-FFF2-40B4-BE49-F238E27FC236}">
              <a16:creationId xmlns:a16="http://schemas.microsoft.com/office/drawing/2014/main" id="{5D0DD5C7-849B-4B6C-827E-DF1C89C4D9A7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2447" name="Text Box 753">
          <a:extLst>
            <a:ext uri="{FF2B5EF4-FFF2-40B4-BE49-F238E27FC236}">
              <a16:creationId xmlns:a16="http://schemas.microsoft.com/office/drawing/2014/main" id="{56158181-7D04-4725-A675-2A4411A6E89B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2448" name="Text Box 754">
          <a:extLst>
            <a:ext uri="{FF2B5EF4-FFF2-40B4-BE49-F238E27FC236}">
              <a16:creationId xmlns:a16="http://schemas.microsoft.com/office/drawing/2014/main" id="{CD54EB67-4CCE-4819-8584-AA3E3D36B0AB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2449" name="Text Box 755">
          <a:extLst>
            <a:ext uri="{FF2B5EF4-FFF2-40B4-BE49-F238E27FC236}">
              <a16:creationId xmlns:a16="http://schemas.microsoft.com/office/drawing/2014/main" id="{D85DFEB0-89DB-44A7-8822-CAE0F8FF0C8C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2450" name="Text Box 756">
          <a:extLst>
            <a:ext uri="{FF2B5EF4-FFF2-40B4-BE49-F238E27FC236}">
              <a16:creationId xmlns:a16="http://schemas.microsoft.com/office/drawing/2014/main" id="{F04CF3F7-4D1B-4A7E-853F-2055B77216F2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2451" name="Text Box 757">
          <a:extLst>
            <a:ext uri="{FF2B5EF4-FFF2-40B4-BE49-F238E27FC236}">
              <a16:creationId xmlns:a16="http://schemas.microsoft.com/office/drawing/2014/main" id="{9234F42D-711F-45D7-B9D7-BDE50047368D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2452" name="Text Box 758">
          <a:extLst>
            <a:ext uri="{FF2B5EF4-FFF2-40B4-BE49-F238E27FC236}">
              <a16:creationId xmlns:a16="http://schemas.microsoft.com/office/drawing/2014/main" id="{96314B66-ACEA-4276-88E2-C7C4FE739EB3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2453" name="Text Box 759">
          <a:extLst>
            <a:ext uri="{FF2B5EF4-FFF2-40B4-BE49-F238E27FC236}">
              <a16:creationId xmlns:a16="http://schemas.microsoft.com/office/drawing/2014/main" id="{9A0C00E5-4634-40DD-B202-5DB87CBCE8A3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2454" name="Text Box 760">
          <a:extLst>
            <a:ext uri="{FF2B5EF4-FFF2-40B4-BE49-F238E27FC236}">
              <a16:creationId xmlns:a16="http://schemas.microsoft.com/office/drawing/2014/main" id="{45886954-A8B1-4570-8A37-CCFCC28CC1B2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2455" name="Text Box 761">
          <a:extLst>
            <a:ext uri="{FF2B5EF4-FFF2-40B4-BE49-F238E27FC236}">
              <a16:creationId xmlns:a16="http://schemas.microsoft.com/office/drawing/2014/main" id="{B155ECED-0AD5-41BC-992B-22C12696C071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2456" name="Text Box 762">
          <a:extLst>
            <a:ext uri="{FF2B5EF4-FFF2-40B4-BE49-F238E27FC236}">
              <a16:creationId xmlns:a16="http://schemas.microsoft.com/office/drawing/2014/main" id="{CC3219FB-B7C1-4F98-88D4-8225A2F42FC9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2457" name="Text Box 763">
          <a:extLst>
            <a:ext uri="{FF2B5EF4-FFF2-40B4-BE49-F238E27FC236}">
              <a16:creationId xmlns:a16="http://schemas.microsoft.com/office/drawing/2014/main" id="{87977456-070B-4043-BDA2-DFFAE4C71701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2458" name="Text Box 764">
          <a:extLst>
            <a:ext uri="{FF2B5EF4-FFF2-40B4-BE49-F238E27FC236}">
              <a16:creationId xmlns:a16="http://schemas.microsoft.com/office/drawing/2014/main" id="{F6EF251A-885B-4F27-B25B-ADA8206FAFEC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2459" name="Text Box 765">
          <a:extLst>
            <a:ext uri="{FF2B5EF4-FFF2-40B4-BE49-F238E27FC236}">
              <a16:creationId xmlns:a16="http://schemas.microsoft.com/office/drawing/2014/main" id="{074590F0-D3FD-44EA-BE2C-7993EF45418B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2460" name="Text Box 766">
          <a:extLst>
            <a:ext uri="{FF2B5EF4-FFF2-40B4-BE49-F238E27FC236}">
              <a16:creationId xmlns:a16="http://schemas.microsoft.com/office/drawing/2014/main" id="{733A705B-FD61-46F0-B19E-9006AD7E2310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2461" name="Text Box 767">
          <a:extLst>
            <a:ext uri="{FF2B5EF4-FFF2-40B4-BE49-F238E27FC236}">
              <a16:creationId xmlns:a16="http://schemas.microsoft.com/office/drawing/2014/main" id="{5B8B3431-6BF3-4A6F-B8F3-8D81C525AA2C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2462" name="Text Box 768">
          <a:extLst>
            <a:ext uri="{FF2B5EF4-FFF2-40B4-BE49-F238E27FC236}">
              <a16:creationId xmlns:a16="http://schemas.microsoft.com/office/drawing/2014/main" id="{824F7693-0F1E-4ED7-90C4-32E34079CE25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2463" name="Text Box 769">
          <a:extLst>
            <a:ext uri="{FF2B5EF4-FFF2-40B4-BE49-F238E27FC236}">
              <a16:creationId xmlns:a16="http://schemas.microsoft.com/office/drawing/2014/main" id="{FDA5F567-421A-407A-A1F5-6CF9E8E79D3B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2464" name="Text Box 770">
          <a:extLst>
            <a:ext uri="{FF2B5EF4-FFF2-40B4-BE49-F238E27FC236}">
              <a16:creationId xmlns:a16="http://schemas.microsoft.com/office/drawing/2014/main" id="{428ACF98-06C6-49F1-9A9D-402676078973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2465" name="Text Box 771">
          <a:extLst>
            <a:ext uri="{FF2B5EF4-FFF2-40B4-BE49-F238E27FC236}">
              <a16:creationId xmlns:a16="http://schemas.microsoft.com/office/drawing/2014/main" id="{DCE560C5-9862-4403-9D56-27CB2E6CFDFA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2466" name="Text Box 772">
          <a:extLst>
            <a:ext uri="{FF2B5EF4-FFF2-40B4-BE49-F238E27FC236}">
              <a16:creationId xmlns:a16="http://schemas.microsoft.com/office/drawing/2014/main" id="{24B44651-C6B4-4C68-BB5C-1C70FB34EF3F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2467" name="Text Box 773">
          <a:extLst>
            <a:ext uri="{FF2B5EF4-FFF2-40B4-BE49-F238E27FC236}">
              <a16:creationId xmlns:a16="http://schemas.microsoft.com/office/drawing/2014/main" id="{E8E4EB4F-BDA7-462C-A130-F964473B6866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2468" name="Text Box 774">
          <a:extLst>
            <a:ext uri="{FF2B5EF4-FFF2-40B4-BE49-F238E27FC236}">
              <a16:creationId xmlns:a16="http://schemas.microsoft.com/office/drawing/2014/main" id="{AF70D86A-F2C0-4069-9533-1AA820512536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2469" name="Text Box 775">
          <a:extLst>
            <a:ext uri="{FF2B5EF4-FFF2-40B4-BE49-F238E27FC236}">
              <a16:creationId xmlns:a16="http://schemas.microsoft.com/office/drawing/2014/main" id="{7A8D2E12-5D41-4F90-AFD4-B7A7E135E5AF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2470" name="Text Box 776">
          <a:extLst>
            <a:ext uri="{FF2B5EF4-FFF2-40B4-BE49-F238E27FC236}">
              <a16:creationId xmlns:a16="http://schemas.microsoft.com/office/drawing/2014/main" id="{8AC31D22-3C9C-4B6D-B983-C28C4DCC4464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133</xdr:row>
      <xdr:rowOff>0</xdr:rowOff>
    </xdr:from>
    <xdr:to>
      <xdr:col>25</xdr:col>
      <xdr:colOff>323850</xdr:colOff>
      <xdr:row>134</xdr:row>
      <xdr:rowOff>0</xdr:rowOff>
    </xdr:to>
    <xdr:sp macro="" textlink="">
      <xdr:nvSpPr>
        <xdr:cNvPr id="2471" name="Text Box 777">
          <a:extLst>
            <a:ext uri="{FF2B5EF4-FFF2-40B4-BE49-F238E27FC236}">
              <a16:creationId xmlns:a16="http://schemas.microsoft.com/office/drawing/2014/main" id="{04B6D45A-B9CD-4894-803B-95ED1E270162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2472" name="Text Box 693">
          <a:extLst>
            <a:ext uri="{FF2B5EF4-FFF2-40B4-BE49-F238E27FC236}">
              <a16:creationId xmlns:a16="http://schemas.microsoft.com/office/drawing/2014/main" id="{1713921B-8211-4C22-8DC3-B1141003E784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2473" name="Text Box 694">
          <a:extLst>
            <a:ext uri="{FF2B5EF4-FFF2-40B4-BE49-F238E27FC236}">
              <a16:creationId xmlns:a16="http://schemas.microsoft.com/office/drawing/2014/main" id="{38C3DBDE-8552-4896-B443-676C2ADE4FA2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2474" name="Text Box 695">
          <a:extLst>
            <a:ext uri="{FF2B5EF4-FFF2-40B4-BE49-F238E27FC236}">
              <a16:creationId xmlns:a16="http://schemas.microsoft.com/office/drawing/2014/main" id="{F2F9AB6B-B0AD-46D6-82D0-7FC33E574672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2475" name="Text Box 696">
          <a:extLst>
            <a:ext uri="{FF2B5EF4-FFF2-40B4-BE49-F238E27FC236}">
              <a16:creationId xmlns:a16="http://schemas.microsoft.com/office/drawing/2014/main" id="{D546C754-8462-42FF-8017-491CF36F1B0D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2476" name="Text Box 697">
          <a:extLst>
            <a:ext uri="{FF2B5EF4-FFF2-40B4-BE49-F238E27FC236}">
              <a16:creationId xmlns:a16="http://schemas.microsoft.com/office/drawing/2014/main" id="{D5581ED8-0E30-4647-8DEE-C560006C464D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2477" name="Text Box 698">
          <a:extLst>
            <a:ext uri="{FF2B5EF4-FFF2-40B4-BE49-F238E27FC236}">
              <a16:creationId xmlns:a16="http://schemas.microsoft.com/office/drawing/2014/main" id="{44045463-20A1-4CE3-B212-53B9C5012C6B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2478" name="Text Box 699">
          <a:extLst>
            <a:ext uri="{FF2B5EF4-FFF2-40B4-BE49-F238E27FC236}">
              <a16:creationId xmlns:a16="http://schemas.microsoft.com/office/drawing/2014/main" id="{140E7508-F102-4332-AB5B-6DAF893B99D6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2479" name="Text Box 700">
          <a:extLst>
            <a:ext uri="{FF2B5EF4-FFF2-40B4-BE49-F238E27FC236}">
              <a16:creationId xmlns:a16="http://schemas.microsoft.com/office/drawing/2014/main" id="{40F526C6-45B1-4935-B9A0-1B4A30E2C42A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2480" name="Text Box 701">
          <a:extLst>
            <a:ext uri="{FF2B5EF4-FFF2-40B4-BE49-F238E27FC236}">
              <a16:creationId xmlns:a16="http://schemas.microsoft.com/office/drawing/2014/main" id="{65407E12-8932-411A-A003-5FA286678259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2481" name="Text Box 702">
          <a:extLst>
            <a:ext uri="{FF2B5EF4-FFF2-40B4-BE49-F238E27FC236}">
              <a16:creationId xmlns:a16="http://schemas.microsoft.com/office/drawing/2014/main" id="{F6D94803-36F7-4EDE-94AE-EE777D262F04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2482" name="Text Box 703">
          <a:extLst>
            <a:ext uri="{FF2B5EF4-FFF2-40B4-BE49-F238E27FC236}">
              <a16:creationId xmlns:a16="http://schemas.microsoft.com/office/drawing/2014/main" id="{972ACE33-D598-4A49-8423-D93B65F0C894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2483" name="Text Box 704">
          <a:extLst>
            <a:ext uri="{FF2B5EF4-FFF2-40B4-BE49-F238E27FC236}">
              <a16:creationId xmlns:a16="http://schemas.microsoft.com/office/drawing/2014/main" id="{206BF822-FC01-4DA4-872E-F5CA4B3B0F18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2484" name="Text Box 705">
          <a:extLst>
            <a:ext uri="{FF2B5EF4-FFF2-40B4-BE49-F238E27FC236}">
              <a16:creationId xmlns:a16="http://schemas.microsoft.com/office/drawing/2014/main" id="{E75A1CFB-5473-4AA6-959C-2A6C06626DE0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2485" name="Text Box 706">
          <a:extLst>
            <a:ext uri="{FF2B5EF4-FFF2-40B4-BE49-F238E27FC236}">
              <a16:creationId xmlns:a16="http://schemas.microsoft.com/office/drawing/2014/main" id="{EC0858EE-AB28-4CD3-8A0D-A316D5D0360A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2486" name="Text Box 707">
          <a:extLst>
            <a:ext uri="{FF2B5EF4-FFF2-40B4-BE49-F238E27FC236}">
              <a16:creationId xmlns:a16="http://schemas.microsoft.com/office/drawing/2014/main" id="{F97CC260-37E3-4AEE-A4C2-0D2444211E59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2487" name="Text Box 708">
          <a:extLst>
            <a:ext uri="{FF2B5EF4-FFF2-40B4-BE49-F238E27FC236}">
              <a16:creationId xmlns:a16="http://schemas.microsoft.com/office/drawing/2014/main" id="{8E96AAE1-5C43-4991-9D88-922FD8E10AD1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2488" name="Text Box 709">
          <a:extLst>
            <a:ext uri="{FF2B5EF4-FFF2-40B4-BE49-F238E27FC236}">
              <a16:creationId xmlns:a16="http://schemas.microsoft.com/office/drawing/2014/main" id="{6997161C-B63B-46A3-ADB5-6E56E39ED482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2489" name="Text Box 710">
          <a:extLst>
            <a:ext uri="{FF2B5EF4-FFF2-40B4-BE49-F238E27FC236}">
              <a16:creationId xmlns:a16="http://schemas.microsoft.com/office/drawing/2014/main" id="{44914FAD-37C5-4277-82D9-7A9AE31453D9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2490" name="Text Box 711">
          <a:extLst>
            <a:ext uri="{FF2B5EF4-FFF2-40B4-BE49-F238E27FC236}">
              <a16:creationId xmlns:a16="http://schemas.microsoft.com/office/drawing/2014/main" id="{CAE71BB6-BFAF-4366-9655-CCFC3F5980D1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2491" name="Text Box 712">
          <a:extLst>
            <a:ext uri="{FF2B5EF4-FFF2-40B4-BE49-F238E27FC236}">
              <a16:creationId xmlns:a16="http://schemas.microsoft.com/office/drawing/2014/main" id="{0402F712-4D9E-4E29-9F05-2B2828F0C61C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2492" name="Text Box 713">
          <a:extLst>
            <a:ext uri="{FF2B5EF4-FFF2-40B4-BE49-F238E27FC236}">
              <a16:creationId xmlns:a16="http://schemas.microsoft.com/office/drawing/2014/main" id="{86A34E50-B153-4763-A382-98683C2A0C0B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2493" name="Text Box 714">
          <a:extLst>
            <a:ext uri="{FF2B5EF4-FFF2-40B4-BE49-F238E27FC236}">
              <a16:creationId xmlns:a16="http://schemas.microsoft.com/office/drawing/2014/main" id="{0A6947ED-7849-4B60-9B48-4F2301F558DD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2494" name="Text Box 715">
          <a:extLst>
            <a:ext uri="{FF2B5EF4-FFF2-40B4-BE49-F238E27FC236}">
              <a16:creationId xmlns:a16="http://schemas.microsoft.com/office/drawing/2014/main" id="{0701D0ED-7A5D-4BAA-867E-E61CEBD83568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2495" name="Text Box 716">
          <a:extLst>
            <a:ext uri="{FF2B5EF4-FFF2-40B4-BE49-F238E27FC236}">
              <a16:creationId xmlns:a16="http://schemas.microsoft.com/office/drawing/2014/main" id="{5FFEAAE3-3F74-4F36-A4D2-F879EC7D6812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2496" name="Text Box 717">
          <a:extLst>
            <a:ext uri="{FF2B5EF4-FFF2-40B4-BE49-F238E27FC236}">
              <a16:creationId xmlns:a16="http://schemas.microsoft.com/office/drawing/2014/main" id="{14A09685-1D78-4288-A5ED-44A6A6C05271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2497" name="Text Box 718">
          <a:extLst>
            <a:ext uri="{FF2B5EF4-FFF2-40B4-BE49-F238E27FC236}">
              <a16:creationId xmlns:a16="http://schemas.microsoft.com/office/drawing/2014/main" id="{490846D3-E9E6-43B4-B0FE-E21726E8A58E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2498" name="Text Box 719">
          <a:extLst>
            <a:ext uri="{FF2B5EF4-FFF2-40B4-BE49-F238E27FC236}">
              <a16:creationId xmlns:a16="http://schemas.microsoft.com/office/drawing/2014/main" id="{E123BB55-416F-49B5-8CA5-DBC5F6E99655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2499" name="Text Box 720">
          <a:extLst>
            <a:ext uri="{FF2B5EF4-FFF2-40B4-BE49-F238E27FC236}">
              <a16:creationId xmlns:a16="http://schemas.microsoft.com/office/drawing/2014/main" id="{261D2BE4-A3BB-440E-A627-07489A32016C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2500" name="Text Box 721">
          <a:extLst>
            <a:ext uri="{FF2B5EF4-FFF2-40B4-BE49-F238E27FC236}">
              <a16:creationId xmlns:a16="http://schemas.microsoft.com/office/drawing/2014/main" id="{7DE07714-8FDA-4770-B2B1-D06D8B077767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2501" name="Text Box 722">
          <a:extLst>
            <a:ext uri="{FF2B5EF4-FFF2-40B4-BE49-F238E27FC236}">
              <a16:creationId xmlns:a16="http://schemas.microsoft.com/office/drawing/2014/main" id="{6498432F-08C2-4122-B813-0F9996BBC22C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2502" name="Text Box 723">
          <a:extLst>
            <a:ext uri="{FF2B5EF4-FFF2-40B4-BE49-F238E27FC236}">
              <a16:creationId xmlns:a16="http://schemas.microsoft.com/office/drawing/2014/main" id="{C39053A9-39FB-4BCD-925F-582E57F8683C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2503" name="Text Box 724">
          <a:extLst>
            <a:ext uri="{FF2B5EF4-FFF2-40B4-BE49-F238E27FC236}">
              <a16:creationId xmlns:a16="http://schemas.microsoft.com/office/drawing/2014/main" id="{220882EE-0F55-4CBC-A0E1-8944993C225C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2504" name="Text Box 725">
          <a:extLst>
            <a:ext uri="{FF2B5EF4-FFF2-40B4-BE49-F238E27FC236}">
              <a16:creationId xmlns:a16="http://schemas.microsoft.com/office/drawing/2014/main" id="{C0F8D50E-DA07-4585-90A4-DB2CA6A2D8E7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2505" name="Text Box 726">
          <a:extLst>
            <a:ext uri="{FF2B5EF4-FFF2-40B4-BE49-F238E27FC236}">
              <a16:creationId xmlns:a16="http://schemas.microsoft.com/office/drawing/2014/main" id="{218C7600-672C-4E13-87FE-DC8C1BEB44DA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2506" name="Text Box 727">
          <a:extLst>
            <a:ext uri="{FF2B5EF4-FFF2-40B4-BE49-F238E27FC236}">
              <a16:creationId xmlns:a16="http://schemas.microsoft.com/office/drawing/2014/main" id="{88259D81-6613-414C-9F98-FDF86F6136C5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2507" name="Text Box 728">
          <a:extLst>
            <a:ext uri="{FF2B5EF4-FFF2-40B4-BE49-F238E27FC236}">
              <a16:creationId xmlns:a16="http://schemas.microsoft.com/office/drawing/2014/main" id="{8D201973-2599-4EE6-8994-D028EFC467E7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2508" name="Text Box 729">
          <a:extLst>
            <a:ext uri="{FF2B5EF4-FFF2-40B4-BE49-F238E27FC236}">
              <a16:creationId xmlns:a16="http://schemas.microsoft.com/office/drawing/2014/main" id="{3DA00EB5-8F29-4C77-9DC9-B1154238A46C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2509" name="Text Box 730">
          <a:extLst>
            <a:ext uri="{FF2B5EF4-FFF2-40B4-BE49-F238E27FC236}">
              <a16:creationId xmlns:a16="http://schemas.microsoft.com/office/drawing/2014/main" id="{4FAD60BB-5EB7-40F4-B6C0-1231C0675D20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2510" name="Text Box 731">
          <a:extLst>
            <a:ext uri="{FF2B5EF4-FFF2-40B4-BE49-F238E27FC236}">
              <a16:creationId xmlns:a16="http://schemas.microsoft.com/office/drawing/2014/main" id="{F4BC76D5-E7EA-418D-B304-14087EA48562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2511" name="Text Box 732">
          <a:extLst>
            <a:ext uri="{FF2B5EF4-FFF2-40B4-BE49-F238E27FC236}">
              <a16:creationId xmlns:a16="http://schemas.microsoft.com/office/drawing/2014/main" id="{FBF2E38E-D3E9-4594-9A6D-4CEFB2D86BC9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2512" name="Text Box 733">
          <a:extLst>
            <a:ext uri="{FF2B5EF4-FFF2-40B4-BE49-F238E27FC236}">
              <a16:creationId xmlns:a16="http://schemas.microsoft.com/office/drawing/2014/main" id="{7009090E-843C-4BD4-9F01-95491517726C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2513" name="Text Box 734">
          <a:extLst>
            <a:ext uri="{FF2B5EF4-FFF2-40B4-BE49-F238E27FC236}">
              <a16:creationId xmlns:a16="http://schemas.microsoft.com/office/drawing/2014/main" id="{9824718E-E92C-49AF-8CCE-58B5C3DB696B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2514" name="Text Box 735">
          <a:extLst>
            <a:ext uri="{FF2B5EF4-FFF2-40B4-BE49-F238E27FC236}">
              <a16:creationId xmlns:a16="http://schemas.microsoft.com/office/drawing/2014/main" id="{F24F262B-C070-4CAD-B5F2-B8C1035FBC57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2515" name="Text Box 736">
          <a:extLst>
            <a:ext uri="{FF2B5EF4-FFF2-40B4-BE49-F238E27FC236}">
              <a16:creationId xmlns:a16="http://schemas.microsoft.com/office/drawing/2014/main" id="{8B0CB865-81BB-417F-B51C-10C2F869B7F3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2516" name="Text Box 737">
          <a:extLst>
            <a:ext uri="{FF2B5EF4-FFF2-40B4-BE49-F238E27FC236}">
              <a16:creationId xmlns:a16="http://schemas.microsoft.com/office/drawing/2014/main" id="{A3B60997-DC75-4299-B7BB-47997C98958E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2517" name="Text Box 738">
          <a:extLst>
            <a:ext uri="{FF2B5EF4-FFF2-40B4-BE49-F238E27FC236}">
              <a16:creationId xmlns:a16="http://schemas.microsoft.com/office/drawing/2014/main" id="{1B9CC63F-D8AF-4B67-8094-1DB5DD5B840E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2518" name="Text Box 739">
          <a:extLst>
            <a:ext uri="{FF2B5EF4-FFF2-40B4-BE49-F238E27FC236}">
              <a16:creationId xmlns:a16="http://schemas.microsoft.com/office/drawing/2014/main" id="{A06AAE62-86C1-42CE-B6EA-AAD104981615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2519" name="Text Box 740">
          <a:extLst>
            <a:ext uri="{FF2B5EF4-FFF2-40B4-BE49-F238E27FC236}">
              <a16:creationId xmlns:a16="http://schemas.microsoft.com/office/drawing/2014/main" id="{BE276E7E-BD6F-4055-9A39-C2AEA293E24D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2520" name="Text Box 741">
          <a:extLst>
            <a:ext uri="{FF2B5EF4-FFF2-40B4-BE49-F238E27FC236}">
              <a16:creationId xmlns:a16="http://schemas.microsoft.com/office/drawing/2014/main" id="{11D45E54-DAE4-4C06-92BC-C455E28FF0A5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2521" name="Text Box 742">
          <a:extLst>
            <a:ext uri="{FF2B5EF4-FFF2-40B4-BE49-F238E27FC236}">
              <a16:creationId xmlns:a16="http://schemas.microsoft.com/office/drawing/2014/main" id="{85197D95-3BB7-4035-A07B-FD20DBA4E452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2522" name="Text Box 743">
          <a:extLst>
            <a:ext uri="{FF2B5EF4-FFF2-40B4-BE49-F238E27FC236}">
              <a16:creationId xmlns:a16="http://schemas.microsoft.com/office/drawing/2014/main" id="{3960EA3A-E2CC-4344-8B76-1AB0D8BC0B0B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2523" name="Text Box 744">
          <a:extLst>
            <a:ext uri="{FF2B5EF4-FFF2-40B4-BE49-F238E27FC236}">
              <a16:creationId xmlns:a16="http://schemas.microsoft.com/office/drawing/2014/main" id="{17452D1D-6DA4-4D62-835B-199C5D91B430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2524" name="Text Box 745">
          <a:extLst>
            <a:ext uri="{FF2B5EF4-FFF2-40B4-BE49-F238E27FC236}">
              <a16:creationId xmlns:a16="http://schemas.microsoft.com/office/drawing/2014/main" id="{8A67E606-D8EB-4150-936E-C9EA2E66CE3C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2525" name="Text Box 746">
          <a:extLst>
            <a:ext uri="{FF2B5EF4-FFF2-40B4-BE49-F238E27FC236}">
              <a16:creationId xmlns:a16="http://schemas.microsoft.com/office/drawing/2014/main" id="{4AF767E3-1D80-4DCA-BA40-688FBF461194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2526" name="Text Box 747">
          <a:extLst>
            <a:ext uri="{FF2B5EF4-FFF2-40B4-BE49-F238E27FC236}">
              <a16:creationId xmlns:a16="http://schemas.microsoft.com/office/drawing/2014/main" id="{CCA65E58-470B-460F-8CB2-A50A795C9371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2527" name="Text Box 748">
          <a:extLst>
            <a:ext uri="{FF2B5EF4-FFF2-40B4-BE49-F238E27FC236}">
              <a16:creationId xmlns:a16="http://schemas.microsoft.com/office/drawing/2014/main" id="{BE62DF86-28B5-42AD-AEFE-98D70940E03D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2528" name="Text Box 749">
          <a:extLst>
            <a:ext uri="{FF2B5EF4-FFF2-40B4-BE49-F238E27FC236}">
              <a16:creationId xmlns:a16="http://schemas.microsoft.com/office/drawing/2014/main" id="{BF99AF93-DBB1-41E1-A138-5DBD65696EB2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2529" name="Text Box 750">
          <a:extLst>
            <a:ext uri="{FF2B5EF4-FFF2-40B4-BE49-F238E27FC236}">
              <a16:creationId xmlns:a16="http://schemas.microsoft.com/office/drawing/2014/main" id="{3E537AC9-C51F-48E5-AD1A-E33636795BFF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2530" name="Text Box 751">
          <a:extLst>
            <a:ext uri="{FF2B5EF4-FFF2-40B4-BE49-F238E27FC236}">
              <a16:creationId xmlns:a16="http://schemas.microsoft.com/office/drawing/2014/main" id="{17306964-7CE4-45B5-A29E-918422EB3329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2531" name="Text Box 752">
          <a:extLst>
            <a:ext uri="{FF2B5EF4-FFF2-40B4-BE49-F238E27FC236}">
              <a16:creationId xmlns:a16="http://schemas.microsoft.com/office/drawing/2014/main" id="{FEFDFCE2-E77B-4032-B6D7-AF5534CD68C5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2532" name="Text Box 753">
          <a:extLst>
            <a:ext uri="{FF2B5EF4-FFF2-40B4-BE49-F238E27FC236}">
              <a16:creationId xmlns:a16="http://schemas.microsoft.com/office/drawing/2014/main" id="{C4BD396C-91BD-4620-AE9F-AF0627A60936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2533" name="Text Box 754">
          <a:extLst>
            <a:ext uri="{FF2B5EF4-FFF2-40B4-BE49-F238E27FC236}">
              <a16:creationId xmlns:a16="http://schemas.microsoft.com/office/drawing/2014/main" id="{88920FE4-8DCB-427B-86AA-56C30C2B9A19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2534" name="Text Box 755">
          <a:extLst>
            <a:ext uri="{FF2B5EF4-FFF2-40B4-BE49-F238E27FC236}">
              <a16:creationId xmlns:a16="http://schemas.microsoft.com/office/drawing/2014/main" id="{02702D97-D57F-4077-990B-2CBF3E19EBC9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2535" name="Text Box 756">
          <a:extLst>
            <a:ext uri="{FF2B5EF4-FFF2-40B4-BE49-F238E27FC236}">
              <a16:creationId xmlns:a16="http://schemas.microsoft.com/office/drawing/2014/main" id="{1FF5F0EC-ABF8-456A-AEF7-7D115342C8E6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2536" name="Text Box 757">
          <a:extLst>
            <a:ext uri="{FF2B5EF4-FFF2-40B4-BE49-F238E27FC236}">
              <a16:creationId xmlns:a16="http://schemas.microsoft.com/office/drawing/2014/main" id="{209D612E-D439-4412-A23F-39638247870A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2537" name="Text Box 758">
          <a:extLst>
            <a:ext uri="{FF2B5EF4-FFF2-40B4-BE49-F238E27FC236}">
              <a16:creationId xmlns:a16="http://schemas.microsoft.com/office/drawing/2014/main" id="{BC3CC0BC-E9B0-49D3-A941-AC69558040AB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2538" name="Text Box 759">
          <a:extLst>
            <a:ext uri="{FF2B5EF4-FFF2-40B4-BE49-F238E27FC236}">
              <a16:creationId xmlns:a16="http://schemas.microsoft.com/office/drawing/2014/main" id="{6E5E5B21-FBFB-4679-8A7B-529954C66A95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2539" name="Text Box 760">
          <a:extLst>
            <a:ext uri="{FF2B5EF4-FFF2-40B4-BE49-F238E27FC236}">
              <a16:creationId xmlns:a16="http://schemas.microsoft.com/office/drawing/2014/main" id="{20F7F409-A36D-4C6C-91EB-783EBD426845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2540" name="Text Box 761">
          <a:extLst>
            <a:ext uri="{FF2B5EF4-FFF2-40B4-BE49-F238E27FC236}">
              <a16:creationId xmlns:a16="http://schemas.microsoft.com/office/drawing/2014/main" id="{E545D284-A7C2-4AF2-97E4-5221894EC354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2541" name="Text Box 762">
          <a:extLst>
            <a:ext uri="{FF2B5EF4-FFF2-40B4-BE49-F238E27FC236}">
              <a16:creationId xmlns:a16="http://schemas.microsoft.com/office/drawing/2014/main" id="{6604F3EC-1F5B-4E1F-8B69-F1F70A64C99B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2542" name="Text Box 763">
          <a:extLst>
            <a:ext uri="{FF2B5EF4-FFF2-40B4-BE49-F238E27FC236}">
              <a16:creationId xmlns:a16="http://schemas.microsoft.com/office/drawing/2014/main" id="{659B76F4-DD88-4301-A798-CA42493393D2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2543" name="Text Box 764">
          <a:extLst>
            <a:ext uri="{FF2B5EF4-FFF2-40B4-BE49-F238E27FC236}">
              <a16:creationId xmlns:a16="http://schemas.microsoft.com/office/drawing/2014/main" id="{3DAA90AB-BD9E-42C8-9649-68BB3B68FB6F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2544" name="Text Box 765">
          <a:extLst>
            <a:ext uri="{FF2B5EF4-FFF2-40B4-BE49-F238E27FC236}">
              <a16:creationId xmlns:a16="http://schemas.microsoft.com/office/drawing/2014/main" id="{D960D229-53A4-4012-82C1-BB20E307D11F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2545" name="Text Box 766">
          <a:extLst>
            <a:ext uri="{FF2B5EF4-FFF2-40B4-BE49-F238E27FC236}">
              <a16:creationId xmlns:a16="http://schemas.microsoft.com/office/drawing/2014/main" id="{2A05B48D-7F0B-45A7-A926-654C344B6A73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2546" name="Text Box 767">
          <a:extLst>
            <a:ext uri="{FF2B5EF4-FFF2-40B4-BE49-F238E27FC236}">
              <a16:creationId xmlns:a16="http://schemas.microsoft.com/office/drawing/2014/main" id="{AAFED18D-6832-464A-8D30-F4D0245F46D3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2547" name="Text Box 768">
          <a:extLst>
            <a:ext uri="{FF2B5EF4-FFF2-40B4-BE49-F238E27FC236}">
              <a16:creationId xmlns:a16="http://schemas.microsoft.com/office/drawing/2014/main" id="{38A39010-EBEF-4D21-ACAF-DFE26DD8B5F6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2548" name="Text Box 769">
          <a:extLst>
            <a:ext uri="{FF2B5EF4-FFF2-40B4-BE49-F238E27FC236}">
              <a16:creationId xmlns:a16="http://schemas.microsoft.com/office/drawing/2014/main" id="{2FE9653B-90FC-4277-8CF5-E881CABB2670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2549" name="Text Box 770">
          <a:extLst>
            <a:ext uri="{FF2B5EF4-FFF2-40B4-BE49-F238E27FC236}">
              <a16:creationId xmlns:a16="http://schemas.microsoft.com/office/drawing/2014/main" id="{B73C190F-736C-4B79-8D84-5E1D7B4D5C00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2550" name="Text Box 771">
          <a:extLst>
            <a:ext uri="{FF2B5EF4-FFF2-40B4-BE49-F238E27FC236}">
              <a16:creationId xmlns:a16="http://schemas.microsoft.com/office/drawing/2014/main" id="{600B357F-01D2-4DD3-A4B2-34F18FA47E32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2551" name="Text Box 772">
          <a:extLst>
            <a:ext uri="{FF2B5EF4-FFF2-40B4-BE49-F238E27FC236}">
              <a16:creationId xmlns:a16="http://schemas.microsoft.com/office/drawing/2014/main" id="{4099F272-875B-43EF-A6A5-358823B1192B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2552" name="Text Box 773">
          <a:extLst>
            <a:ext uri="{FF2B5EF4-FFF2-40B4-BE49-F238E27FC236}">
              <a16:creationId xmlns:a16="http://schemas.microsoft.com/office/drawing/2014/main" id="{0C8A1F6F-CD7A-4581-8E16-3B72A16C2921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2553" name="Text Box 774">
          <a:extLst>
            <a:ext uri="{FF2B5EF4-FFF2-40B4-BE49-F238E27FC236}">
              <a16:creationId xmlns:a16="http://schemas.microsoft.com/office/drawing/2014/main" id="{4A0CF009-6518-48CC-85CF-BE027E4CF07E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2554" name="Text Box 775">
          <a:extLst>
            <a:ext uri="{FF2B5EF4-FFF2-40B4-BE49-F238E27FC236}">
              <a16:creationId xmlns:a16="http://schemas.microsoft.com/office/drawing/2014/main" id="{813DFCCA-755B-4FFD-A67F-2CF64ABBEA92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2555" name="Text Box 776">
          <a:extLst>
            <a:ext uri="{FF2B5EF4-FFF2-40B4-BE49-F238E27FC236}">
              <a16:creationId xmlns:a16="http://schemas.microsoft.com/office/drawing/2014/main" id="{423A91AA-AEBA-47B7-A7AC-69C761E472A9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28</xdr:col>
      <xdr:colOff>0</xdr:colOff>
      <xdr:row>133</xdr:row>
      <xdr:rowOff>0</xdr:rowOff>
    </xdr:from>
    <xdr:to>
      <xdr:col>29</xdr:col>
      <xdr:colOff>323850</xdr:colOff>
      <xdr:row>134</xdr:row>
      <xdr:rowOff>0</xdr:rowOff>
    </xdr:to>
    <xdr:sp macro="" textlink="">
      <xdr:nvSpPr>
        <xdr:cNvPr id="2556" name="Text Box 777">
          <a:extLst>
            <a:ext uri="{FF2B5EF4-FFF2-40B4-BE49-F238E27FC236}">
              <a16:creationId xmlns:a16="http://schemas.microsoft.com/office/drawing/2014/main" id="{3A6E3E69-F011-4A37-9C9C-BF683206661D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2557" name="Text Box 693">
          <a:extLst>
            <a:ext uri="{FF2B5EF4-FFF2-40B4-BE49-F238E27FC236}">
              <a16:creationId xmlns:a16="http://schemas.microsoft.com/office/drawing/2014/main" id="{F61B6AB7-AB29-4EA7-B37D-18D9836CBB2A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2558" name="Text Box 694">
          <a:extLst>
            <a:ext uri="{FF2B5EF4-FFF2-40B4-BE49-F238E27FC236}">
              <a16:creationId xmlns:a16="http://schemas.microsoft.com/office/drawing/2014/main" id="{FDB50E22-704A-4D32-B041-C8F3E7A5DF80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2559" name="Text Box 695">
          <a:extLst>
            <a:ext uri="{FF2B5EF4-FFF2-40B4-BE49-F238E27FC236}">
              <a16:creationId xmlns:a16="http://schemas.microsoft.com/office/drawing/2014/main" id="{F005F014-0681-4E58-BF09-EB78755998D1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2560" name="Text Box 696">
          <a:extLst>
            <a:ext uri="{FF2B5EF4-FFF2-40B4-BE49-F238E27FC236}">
              <a16:creationId xmlns:a16="http://schemas.microsoft.com/office/drawing/2014/main" id="{6E1DC4BA-9376-4CA6-B970-B3D1B1A74A99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2561" name="Text Box 697">
          <a:extLst>
            <a:ext uri="{FF2B5EF4-FFF2-40B4-BE49-F238E27FC236}">
              <a16:creationId xmlns:a16="http://schemas.microsoft.com/office/drawing/2014/main" id="{0181F3D5-3034-41C8-A0E7-C9F1A8AED7C7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2562" name="Text Box 698">
          <a:extLst>
            <a:ext uri="{FF2B5EF4-FFF2-40B4-BE49-F238E27FC236}">
              <a16:creationId xmlns:a16="http://schemas.microsoft.com/office/drawing/2014/main" id="{2DE7E31E-4CCE-4C9D-8544-D37A0A88DD40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2563" name="Text Box 699">
          <a:extLst>
            <a:ext uri="{FF2B5EF4-FFF2-40B4-BE49-F238E27FC236}">
              <a16:creationId xmlns:a16="http://schemas.microsoft.com/office/drawing/2014/main" id="{EAA747CB-6874-4528-BCC9-7D9BFDE9C222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2564" name="Text Box 700">
          <a:extLst>
            <a:ext uri="{FF2B5EF4-FFF2-40B4-BE49-F238E27FC236}">
              <a16:creationId xmlns:a16="http://schemas.microsoft.com/office/drawing/2014/main" id="{906E7420-8791-4EDF-9D2A-4894C8ED32DF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2565" name="Text Box 701">
          <a:extLst>
            <a:ext uri="{FF2B5EF4-FFF2-40B4-BE49-F238E27FC236}">
              <a16:creationId xmlns:a16="http://schemas.microsoft.com/office/drawing/2014/main" id="{9EFAFA10-FFB2-4827-9D79-CEA1194034FA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2566" name="Text Box 702">
          <a:extLst>
            <a:ext uri="{FF2B5EF4-FFF2-40B4-BE49-F238E27FC236}">
              <a16:creationId xmlns:a16="http://schemas.microsoft.com/office/drawing/2014/main" id="{23A85F6E-98A1-4F5D-A309-5CABB3FFADD8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2567" name="Text Box 703">
          <a:extLst>
            <a:ext uri="{FF2B5EF4-FFF2-40B4-BE49-F238E27FC236}">
              <a16:creationId xmlns:a16="http://schemas.microsoft.com/office/drawing/2014/main" id="{935E64E1-71B0-44E5-8C49-7187F4044BAE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2568" name="Text Box 704">
          <a:extLst>
            <a:ext uri="{FF2B5EF4-FFF2-40B4-BE49-F238E27FC236}">
              <a16:creationId xmlns:a16="http://schemas.microsoft.com/office/drawing/2014/main" id="{731B82B2-BFDD-4875-8389-B2D86DBD9EBB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2569" name="Text Box 705">
          <a:extLst>
            <a:ext uri="{FF2B5EF4-FFF2-40B4-BE49-F238E27FC236}">
              <a16:creationId xmlns:a16="http://schemas.microsoft.com/office/drawing/2014/main" id="{109C0A54-FBB6-4031-8AAF-223CF1C23460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2570" name="Text Box 706">
          <a:extLst>
            <a:ext uri="{FF2B5EF4-FFF2-40B4-BE49-F238E27FC236}">
              <a16:creationId xmlns:a16="http://schemas.microsoft.com/office/drawing/2014/main" id="{3134A693-D40F-447C-B472-FFFD25698A6D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2571" name="Text Box 707">
          <a:extLst>
            <a:ext uri="{FF2B5EF4-FFF2-40B4-BE49-F238E27FC236}">
              <a16:creationId xmlns:a16="http://schemas.microsoft.com/office/drawing/2014/main" id="{CA09BDEF-2E55-4C21-968D-DE639B8F84F9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2572" name="Text Box 708">
          <a:extLst>
            <a:ext uri="{FF2B5EF4-FFF2-40B4-BE49-F238E27FC236}">
              <a16:creationId xmlns:a16="http://schemas.microsoft.com/office/drawing/2014/main" id="{6DACB2A1-2F2D-44C1-863E-D08AC9D53CE9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2573" name="Text Box 709">
          <a:extLst>
            <a:ext uri="{FF2B5EF4-FFF2-40B4-BE49-F238E27FC236}">
              <a16:creationId xmlns:a16="http://schemas.microsoft.com/office/drawing/2014/main" id="{92E7C9CA-426E-464D-8BFE-42D4DD6A2EC2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2574" name="Text Box 710">
          <a:extLst>
            <a:ext uri="{FF2B5EF4-FFF2-40B4-BE49-F238E27FC236}">
              <a16:creationId xmlns:a16="http://schemas.microsoft.com/office/drawing/2014/main" id="{ACC8C444-BDA3-4046-ACD5-7336CAE31CC5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2575" name="Text Box 711">
          <a:extLst>
            <a:ext uri="{FF2B5EF4-FFF2-40B4-BE49-F238E27FC236}">
              <a16:creationId xmlns:a16="http://schemas.microsoft.com/office/drawing/2014/main" id="{CB9E21BA-DE04-4AEC-A3EB-309E0C633577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2576" name="Text Box 712">
          <a:extLst>
            <a:ext uri="{FF2B5EF4-FFF2-40B4-BE49-F238E27FC236}">
              <a16:creationId xmlns:a16="http://schemas.microsoft.com/office/drawing/2014/main" id="{BEF0C27C-020E-44CB-AB1A-75B2AF0D3B7B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2577" name="Text Box 713">
          <a:extLst>
            <a:ext uri="{FF2B5EF4-FFF2-40B4-BE49-F238E27FC236}">
              <a16:creationId xmlns:a16="http://schemas.microsoft.com/office/drawing/2014/main" id="{9EEE5EEF-E5EA-4462-96F6-0AE88226200F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2578" name="Text Box 714">
          <a:extLst>
            <a:ext uri="{FF2B5EF4-FFF2-40B4-BE49-F238E27FC236}">
              <a16:creationId xmlns:a16="http://schemas.microsoft.com/office/drawing/2014/main" id="{12F60DFA-7B68-4497-9B1B-D42E05407906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2579" name="Text Box 715">
          <a:extLst>
            <a:ext uri="{FF2B5EF4-FFF2-40B4-BE49-F238E27FC236}">
              <a16:creationId xmlns:a16="http://schemas.microsoft.com/office/drawing/2014/main" id="{0CF4ACB8-7C9B-4E18-BAB0-2E6AD93CDE9D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2580" name="Text Box 716">
          <a:extLst>
            <a:ext uri="{FF2B5EF4-FFF2-40B4-BE49-F238E27FC236}">
              <a16:creationId xmlns:a16="http://schemas.microsoft.com/office/drawing/2014/main" id="{6450DD7A-643E-4BD4-BCA7-3C7E6131BF87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2581" name="Text Box 717">
          <a:extLst>
            <a:ext uri="{FF2B5EF4-FFF2-40B4-BE49-F238E27FC236}">
              <a16:creationId xmlns:a16="http://schemas.microsoft.com/office/drawing/2014/main" id="{141C7178-2210-4BBA-9696-306EDC97143A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2582" name="Text Box 718">
          <a:extLst>
            <a:ext uri="{FF2B5EF4-FFF2-40B4-BE49-F238E27FC236}">
              <a16:creationId xmlns:a16="http://schemas.microsoft.com/office/drawing/2014/main" id="{62D7E35D-F1A3-4707-8913-3C1D4B304872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2583" name="Text Box 719">
          <a:extLst>
            <a:ext uri="{FF2B5EF4-FFF2-40B4-BE49-F238E27FC236}">
              <a16:creationId xmlns:a16="http://schemas.microsoft.com/office/drawing/2014/main" id="{829F56F9-9627-42E0-B787-CA2AD78A6A76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2584" name="Text Box 720">
          <a:extLst>
            <a:ext uri="{FF2B5EF4-FFF2-40B4-BE49-F238E27FC236}">
              <a16:creationId xmlns:a16="http://schemas.microsoft.com/office/drawing/2014/main" id="{46A62AEA-8153-4EBF-8763-70B227C48E26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2585" name="Text Box 721">
          <a:extLst>
            <a:ext uri="{FF2B5EF4-FFF2-40B4-BE49-F238E27FC236}">
              <a16:creationId xmlns:a16="http://schemas.microsoft.com/office/drawing/2014/main" id="{B6B5DBB0-8745-4CFD-AC68-C3C68823AC83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2586" name="Text Box 722">
          <a:extLst>
            <a:ext uri="{FF2B5EF4-FFF2-40B4-BE49-F238E27FC236}">
              <a16:creationId xmlns:a16="http://schemas.microsoft.com/office/drawing/2014/main" id="{9DC0FC2B-4E7D-4809-89D3-5BE4A4D0B44C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2587" name="Text Box 723">
          <a:extLst>
            <a:ext uri="{FF2B5EF4-FFF2-40B4-BE49-F238E27FC236}">
              <a16:creationId xmlns:a16="http://schemas.microsoft.com/office/drawing/2014/main" id="{34BCF289-5191-40E8-929E-B6337726ADCD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2588" name="Text Box 724">
          <a:extLst>
            <a:ext uri="{FF2B5EF4-FFF2-40B4-BE49-F238E27FC236}">
              <a16:creationId xmlns:a16="http://schemas.microsoft.com/office/drawing/2014/main" id="{28C2C79D-EAF5-427D-ACE3-B7B3A415E730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2589" name="Text Box 725">
          <a:extLst>
            <a:ext uri="{FF2B5EF4-FFF2-40B4-BE49-F238E27FC236}">
              <a16:creationId xmlns:a16="http://schemas.microsoft.com/office/drawing/2014/main" id="{BC39C434-F1FE-45AA-83C2-15B3968CF754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2590" name="Text Box 726">
          <a:extLst>
            <a:ext uri="{FF2B5EF4-FFF2-40B4-BE49-F238E27FC236}">
              <a16:creationId xmlns:a16="http://schemas.microsoft.com/office/drawing/2014/main" id="{22F717CB-A8C7-4C7A-9B13-C9B7DB9A4333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2591" name="Text Box 727">
          <a:extLst>
            <a:ext uri="{FF2B5EF4-FFF2-40B4-BE49-F238E27FC236}">
              <a16:creationId xmlns:a16="http://schemas.microsoft.com/office/drawing/2014/main" id="{D878A6C0-BCBB-44FE-B1EF-230B7BC825C4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2592" name="Text Box 728">
          <a:extLst>
            <a:ext uri="{FF2B5EF4-FFF2-40B4-BE49-F238E27FC236}">
              <a16:creationId xmlns:a16="http://schemas.microsoft.com/office/drawing/2014/main" id="{9F4BA309-0E10-4A22-B25A-E6AA1056728B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2593" name="Text Box 729">
          <a:extLst>
            <a:ext uri="{FF2B5EF4-FFF2-40B4-BE49-F238E27FC236}">
              <a16:creationId xmlns:a16="http://schemas.microsoft.com/office/drawing/2014/main" id="{A9978D53-CEC1-460B-90E9-BEF982035BFC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2594" name="Text Box 730">
          <a:extLst>
            <a:ext uri="{FF2B5EF4-FFF2-40B4-BE49-F238E27FC236}">
              <a16:creationId xmlns:a16="http://schemas.microsoft.com/office/drawing/2014/main" id="{C4F342B7-39F0-4891-B5FA-C8284AC55621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2595" name="Text Box 731">
          <a:extLst>
            <a:ext uri="{FF2B5EF4-FFF2-40B4-BE49-F238E27FC236}">
              <a16:creationId xmlns:a16="http://schemas.microsoft.com/office/drawing/2014/main" id="{6F912852-6820-453B-A72D-11B0376FC2C3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2596" name="Text Box 732">
          <a:extLst>
            <a:ext uri="{FF2B5EF4-FFF2-40B4-BE49-F238E27FC236}">
              <a16:creationId xmlns:a16="http://schemas.microsoft.com/office/drawing/2014/main" id="{09EE4725-6746-4792-80C5-811AFFF2D30C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2597" name="Text Box 733">
          <a:extLst>
            <a:ext uri="{FF2B5EF4-FFF2-40B4-BE49-F238E27FC236}">
              <a16:creationId xmlns:a16="http://schemas.microsoft.com/office/drawing/2014/main" id="{9AA65EF6-8774-492D-B2B3-83548317F62C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2598" name="Text Box 734">
          <a:extLst>
            <a:ext uri="{FF2B5EF4-FFF2-40B4-BE49-F238E27FC236}">
              <a16:creationId xmlns:a16="http://schemas.microsoft.com/office/drawing/2014/main" id="{AA1A7A24-0154-4848-B2D5-E2A7FB26AB5A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2599" name="Text Box 735">
          <a:extLst>
            <a:ext uri="{FF2B5EF4-FFF2-40B4-BE49-F238E27FC236}">
              <a16:creationId xmlns:a16="http://schemas.microsoft.com/office/drawing/2014/main" id="{5D996BF8-7D78-4FF9-9028-4F3AB55F34A8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2600" name="Text Box 736">
          <a:extLst>
            <a:ext uri="{FF2B5EF4-FFF2-40B4-BE49-F238E27FC236}">
              <a16:creationId xmlns:a16="http://schemas.microsoft.com/office/drawing/2014/main" id="{D68B11CC-9CB0-496C-A201-FB9B6E832EFD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2601" name="Text Box 737">
          <a:extLst>
            <a:ext uri="{FF2B5EF4-FFF2-40B4-BE49-F238E27FC236}">
              <a16:creationId xmlns:a16="http://schemas.microsoft.com/office/drawing/2014/main" id="{D9E34D53-FB99-402F-B7CA-5DF024165701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2602" name="Text Box 738">
          <a:extLst>
            <a:ext uri="{FF2B5EF4-FFF2-40B4-BE49-F238E27FC236}">
              <a16:creationId xmlns:a16="http://schemas.microsoft.com/office/drawing/2014/main" id="{5998E01A-0666-4247-A873-440368FB7985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2603" name="Text Box 739">
          <a:extLst>
            <a:ext uri="{FF2B5EF4-FFF2-40B4-BE49-F238E27FC236}">
              <a16:creationId xmlns:a16="http://schemas.microsoft.com/office/drawing/2014/main" id="{97DF5231-7602-4880-9632-553823EA11CF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2604" name="Text Box 740">
          <a:extLst>
            <a:ext uri="{FF2B5EF4-FFF2-40B4-BE49-F238E27FC236}">
              <a16:creationId xmlns:a16="http://schemas.microsoft.com/office/drawing/2014/main" id="{F4C61A45-F474-4F51-95F4-1DCEDEAD7B77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2605" name="Text Box 741">
          <a:extLst>
            <a:ext uri="{FF2B5EF4-FFF2-40B4-BE49-F238E27FC236}">
              <a16:creationId xmlns:a16="http://schemas.microsoft.com/office/drawing/2014/main" id="{CA97C6AE-BBB9-4A69-9E2B-7296FC1FB57D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2606" name="Text Box 742">
          <a:extLst>
            <a:ext uri="{FF2B5EF4-FFF2-40B4-BE49-F238E27FC236}">
              <a16:creationId xmlns:a16="http://schemas.microsoft.com/office/drawing/2014/main" id="{9E8F0B53-DA02-4AA7-89D3-5F2A322C9CD7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2607" name="Text Box 743">
          <a:extLst>
            <a:ext uri="{FF2B5EF4-FFF2-40B4-BE49-F238E27FC236}">
              <a16:creationId xmlns:a16="http://schemas.microsoft.com/office/drawing/2014/main" id="{C9B5E003-5723-45B8-B62E-566013FC1B1B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2608" name="Text Box 744">
          <a:extLst>
            <a:ext uri="{FF2B5EF4-FFF2-40B4-BE49-F238E27FC236}">
              <a16:creationId xmlns:a16="http://schemas.microsoft.com/office/drawing/2014/main" id="{AA07801A-552E-4562-8425-3A749C8C9966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2609" name="Text Box 745">
          <a:extLst>
            <a:ext uri="{FF2B5EF4-FFF2-40B4-BE49-F238E27FC236}">
              <a16:creationId xmlns:a16="http://schemas.microsoft.com/office/drawing/2014/main" id="{A92A0705-1377-46F0-A260-288920A0FE52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2610" name="Text Box 746">
          <a:extLst>
            <a:ext uri="{FF2B5EF4-FFF2-40B4-BE49-F238E27FC236}">
              <a16:creationId xmlns:a16="http://schemas.microsoft.com/office/drawing/2014/main" id="{41A19B1B-31EF-4EB9-A431-C0FA1324744A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2611" name="Text Box 747">
          <a:extLst>
            <a:ext uri="{FF2B5EF4-FFF2-40B4-BE49-F238E27FC236}">
              <a16:creationId xmlns:a16="http://schemas.microsoft.com/office/drawing/2014/main" id="{C926E9FC-8894-42CF-918D-F64A5B4C1B8C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2612" name="Text Box 748">
          <a:extLst>
            <a:ext uri="{FF2B5EF4-FFF2-40B4-BE49-F238E27FC236}">
              <a16:creationId xmlns:a16="http://schemas.microsoft.com/office/drawing/2014/main" id="{88F12993-5288-4CEF-994A-99D392937C41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2613" name="Text Box 749">
          <a:extLst>
            <a:ext uri="{FF2B5EF4-FFF2-40B4-BE49-F238E27FC236}">
              <a16:creationId xmlns:a16="http://schemas.microsoft.com/office/drawing/2014/main" id="{8EC51633-0555-406F-BF5C-410BF3444B5F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2614" name="Text Box 750">
          <a:extLst>
            <a:ext uri="{FF2B5EF4-FFF2-40B4-BE49-F238E27FC236}">
              <a16:creationId xmlns:a16="http://schemas.microsoft.com/office/drawing/2014/main" id="{19AA6CB1-6C95-4235-957F-BD9A733B023B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2615" name="Text Box 751">
          <a:extLst>
            <a:ext uri="{FF2B5EF4-FFF2-40B4-BE49-F238E27FC236}">
              <a16:creationId xmlns:a16="http://schemas.microsoft.com/office/drawing/2014/main" id="{A7661EF2-8EAE-455C-87A0-76290DF4823D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2616" name="Text Box 752">
          <a:extLst>
            <a:ext uri="{FF2B5EF4-FFF2-40B4-BE49-F238E27FC236}">
              <a16:creationId xmlns:a16="http://schemas.microsoft.com/office/drawing/2014/main" id="{22D099A0-F005-44EC-9306-A8BB5B0CE0E8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2617" name="Text Box 753">
          <a:extLst>
            <a:ext uri="{FF2B5EF4-FFF2-40B4-BE49-F238E27FC236}">
              <a16:creationId xmlns:a16="http://schemas.microsoft.com/office/drawing/2014/main" id="{D7544BCD-E3CE-4CCB-A7DB-1B2BE2CC36E0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2618" name="Text Box 754">
          <a:extLst>
            <a:ext uri="{FF2B5EF4-FFF2-40B4-BE49-F238E27FC236}">
              <a16:creationId xmlns:a16="http://schemas.microsoft.com/office/drawing/2014/main" id="{7851B58C-34EE-45EF-A942-2A47B961E527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2619" name="Text Box 755">
          <a:extLst>
            <a:ext uri="{FF2B5EF4-FFF2-40B4-BE49-F238E27FC236}">
              <a16:creationId xmlns:a16="http://schemas.microsoft.com/office/drawing/2014/main" id="{E48C4E33-8E7E-4B3B-9B2B-8377E3BD2495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2620" name="Text Box 756">
          <a:extLst>
            <a:ext uri="{FF2B5EF4-FFF2-40B4-BE49-F238E27FC236}">
              <a16:creationId xmlns:a16="http://schemas.microsoft.com/office/drawing/2014/main" id="{58678A4E-F6F7-44B5-9B17-450BFF757E41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2621" name="Text Box 757">
          <a:extLst>
            <a:ext uri="{FF2B5EF4-FFF2-40B4-BE49-F238E27FC236}">
              <a16:creationId xmlns:a16="http://schemas.microsoft.com/office/drawing/2014/main" id="{83DA4723-BFDA-47D4-843A-7D8E5836AE63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2622" name="Text Box 758">
          <a:extLst>
            <a:ext uri="{FF2B5EF4-FFF2-40B4-BE49-F238E27FC236}">
              <a16:creationId xmlns:a16="http://schemas.microsoft.com/office/drawing/2014/main" id="{AF4F5B30-F03C-4A72-82B3-2C20B7D4AAC2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2623" name="Text Box 759">
          <a:extLst>
            <a:ext uri="{FF2B5EF4-FFF2-40B4-BE49-F238E27FC236}">
              <a16:creationId xmlns:a16="http://schemas.microsoft.com/office/drawing/2014/main" id="{424FE229-E9CF-4EBA-A2AE-686C8DFB163F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2624" name="Text Box 760">
          <a:extLst>
            <a:ext uri="{FF2B5EF4-FFF2-40B4-BE49-F238E27FC236}">
              <a16:creationId xmlns:a16="http://schemas.microsoft.com/office/drawing/2014/main" id="{2625760E-A2F4-46D2-9C4B-874505DDF903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2625" name="Text Box 761">
          <a:extLst>
            <a:ext uri="{FF2B5EF4-FFF2-40B4-BE49-F238E27FC236}">
              <a16:creationId xmlns:a16="http://schemas.microsoft.com/office/drawing/2014/main" id="{86BDFF26-EA16-453D-92E4-516159EA1644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2626" name="Text Box 762">
          <a:extLst>
            <a:ext uri="{FF2B5EF4-FFF2-40B4-BE49-F238E27FC236}">
              <a16:creationId xmlns:a16="http://schemas.microsoft.com/office/drawing/2014/main" id="{94615EE6-CB56-438C-9A98-231F16C5E60C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2627" name="Text Box 763">
          <a:extLst>
            <a:ext uri="{FF2B5EF4-FFF2-40B4-BE49-F238E27FC236}">
              <a16:creationId xmlns:a16="http://schemas.microsoft.com/office/drawing/2014/main" id="{D290D145-9562-43AF-A676-CFC407ED34F8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2628" name="Text Box 764">
          <a:extLst>
            <a:ext uri="{FF2B5EF4-FFF2-40B4-BE49-F238E27FC236}">
              <a16:creationId xmlns:a16="http://schemas.microsoft.com/office/drawing/2014/main" id="{A1B4317D-3473-4957-8A31-8AADE6FBF4A9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2629" name="Text Box 765">
          <a:extLst>
            <a:ext uri="{FF2B5EF4-FFF2-40B4-BE49-F238E27FC236}">
              <a16:creationId xmlns:a16="http://schemas.microsoft.com/office/drawing/2014/main" id="{C131127F-2D9C-46A0-B6D8-03C7CC847A31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2630" name="Text Box 766">
          <a:extLst>
            <a:ext uri="{FF2B5EF4-FFF2-40B4-BE49-F238E27FC236}">
              <a16:creationId xmlns:a16="http://schemas.microsoft.com/office/drawing/2014/main" id="{B75F7C6F-DB5E-4FBC-826A-B72258150CE8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2631" name="Text Box 767">
          <a:extLst>
            <a:ext uri="{FF2B5EF4-FFF2-40B4-BE49-F238E27FC236}">
              <a16:creationId xmlns:a16="http://schemas.microsoft.com/office/drawing/2014/main" id="{0419C6E3-2316-40CB-AE23-813F16898F50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2632" name="Text Box 768">
          <a:extLst>
            <a:ext uri="{FF2B5EF4-FFF2-40B4-BE49-F238E27FC236}">
              <a16:creationId xmlns:a16="http://schemas.microsoft.com/office/drawing/2014/main" id="{CFEBA778-76A1-4C10-84AF-404AA1599AF3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2633" name="Text Box 769">
          <a:extLst>
            <a:ext uri="{FF2B5EF4-FFF2-40B4-BE49-F238E27FC236}">
              <a16:creationId xmlns:a16="http://schemas.microsoft.com/office/drawing/2014/main" id="{C77D4736-64E9-4836-A906-70A3494A3E7D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2634" name="Text Box 770">
          <a:extLst>
            <a:ext uri="{FF2B5EF4-FFF2-40B4-BE49-F238E27FC236}">
              <a16:creationId xmlns:a16="http://schemas.microsoft.com/office/drawing/2014/main" id="{CB7F99AD-AED0-4EFA-8F8D-8AB4E583538E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2635" name="Text Box 771">
          <a:extLst>
            <a:ext uri="{FF2B5EF4-FFF2-40B4-BE49-F238E27FC236}">
              <a16:creationId xmlns:a16="http://schemas.microsoft.com/office/drawing/2014/main" id="{0382B068-C118-4D77-9F5B-76A855350596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2636" name="Text Box 772">
          <a:extLst>
            <a:ext uri="{FF2B5EF4-FFF2-40B4-BE49-F238E27FC236}">
              <a16:creationId xmlns:a16="http://schemas.microsoft.com/office/drawing/2014/main" id="{5C9D3B30-3C5B-4365-8247-8E35C2BECCD6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2637" name="Text Box 773">
          <a:extLst>
            <a:ext uri="{FF2B5EF4-FFF2-40B4-BE49-F238E27FC236}">
              <a16:creationId xmlns:a16="http://schemas.microsoft.com/office/drawing/2014/main" id="{B4625631-6A4A-48A6-B0B6-3EF37549D633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2638" name="Text Box 774">
          <a:extLst>
            <a:ext uri="{FF2B5EF4-FFF2-40B4-BE49-F238E27FC236}">
              <a16:creationId xmlns:a16="http://schemas.microsoft.com/office/drawing/2014/main" id="{DD34E102-CF5A-4B3E-A8E3-F95C30513009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2639" name="Text Box 775">
          <a:extLst>
            <a:ext uri="{FF2B5EF4-FFF2-40B4-BE49-F238E27FC236}">
              <a16:creationId xmlns:a16="http://schemas.microsoft.com/office/drawing/2014/main" id="{B026CC7B-947B-4243-95E9-2929E4289F7E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2640" name="Text Box 776">
          <a:extLst>
            <a:ext uri="{FF2B5EF4-FFF2-40B4-BE49-F238E27FC236}">
              <a16:creationId xmlns:a16="http://schemas.microsoft.com/office/drawing/2014/main" id="{11514B40-EC8A-4253-B60C-B3C23212F761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32</xdr:col>
      <xdr:colOff>0</xdr:colOff>
      <xdr:row>133</xdr:row>
      <xdr:rowOff>0</xdr:rowOff>
    </xdr:from>
    <xdr:to>
      <xdr:col>33</xdr:col>
      <xdr:colOff>323850</xdr:colOff>
      <xdr:row>134</xdr:row>
      <xdr:rowOff>0</xdr:rowOff>
    </xdr:to>
    <xdr:sp macro="" textlink="">
      <xdr:nvSpPr>
        <xdr:cNvPr id="2641" name="Text Box 777">
          <a:extLst>
            <a:ext uri="{FF2B5EF4-FFF2-40B4-BE49-F238E27FC236}">
              <a16:creationId xmlns:a16="http://schemas.microsoft.com/office/drawing/2014/main" id="{991E48AB-590D-4736-B834-8E39F6E648D0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2642" name="Text Box 693">
          <a:extLst>
            <a:ext uri="{FF2B5EF4-FFF2-40B4-BE49-F238E27FC236}">
              <a16:creationId xmlns:a16="http://schemas.microsoft.com/office/drawing/2014/main" id="{687BBEB6-C7DD-4885-9D46-7AE28351D479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2643" name="Text Box 694">
          <a:extLst>
            <a:ext uri="{FF2B5EF4-FFF2-40B4-BE49-F238E27FC236}">
              <a16:creationId xmlns:a16="http://schemas.microsoft.com/office/drawing/2014/main" id="{24A61715-40F3-4698-AA45-D2B07A4A18C1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2644" name="Text Box 695">
          <a:extLst>
            <a:ext uri="{FF2B5EF4-FFF2-40B4-BE49-F238E27FC236}">
              <a16:creationId xmlns:a16="http://schemas.microsoft.com/office/drawing/2014/main" id="{C18EF55D-E53F-4397-B3E5-4290BD0D6CA6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2645" name="Text Box 696">
          <a:extLst>
            <a:ext uri="{FF2B5EF4-FFF2-40B4-BE49-F238E27FC236}">
              <a16:creationId xmlns:a16="http://schemas.microsoft.com/office/drawing/2014/main" id="{C39BFCBC-7924-44D6-A852-3B7B50C5A1B3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2646" name="Text Box 697">
          <a:extLst>
            <a:ext uri="{FF2B5EF4-FFF2-40B4-BE49-F238E27FC236}">
              <a16:creationId xmlns:a16="http://schemas.microsoft.com/office/drawing/2014/main" id="{20DCE721-8A06-420C-B64C-4249CCDE0FA1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2647" name="Text Box 698">
          <a:extLst>
            <a:ext uri="{FF2B5EF4-FFF2-40B4-BE49-F238E27FC236}">
              <a16:creationId xmlns:a16="http://schemas.microsoft.com/office/drawing/2014/main" id="{92C67B1E-2FBA-4A45-8F07-C526C2837E32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2648" name="Text Box 699">
          <a:extLst>
            <a:ext uri="{FF2B5EF4-FFF2-40B4-BE49-F238E27FC236}">
              <a16:creationId xmlns:a16="http://schemas.microsoft.com/office/drawing/2014/main" id="{DE3C3A05-AE62-4C1B-869C-146CDF4A5337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2649" name="Text Box 700">
          <a:extLst>
            <a:ext uri="{FF2B5EF4-FFF2-40B4-BE49-F238E27FC236}">
              <a16:creationId xmlns:a16="http://schemas.microsoft.com/office/drawing/2014/main" id="{A903C17B-234E-4901-949A-2331336DFCB5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2650" name="Text Box 701">
          <a:extLst>
            <a:ext uri="{FF2B5EF4-FFF2-40B4-BE49-F238E27FC236}">
              <a16:creationId xmlns:a16="http://schemas.microsoft.com/office/drawing/2014/main" id="{2FB8B6E2-1B46-46AC-9BF6-F71E0D722ED7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2651" name="Text Box 702">
          <a:extLst>
            <a:ext uri="{FF2B5EF4-FFF2-40B4-BE49-F238E27FC236}">
              <a16:creationId xmlns:a16="http://schemas.microsoft.com/office/drawing/2014/main" id="{8E22185D-FEAD-4594-B251-F8D5E8761471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2652" name="Text Box 703">
          <a:extLst>
            <a:ext uri="{FF2B5EF4-FFF2-40B4-BE49-F238E27FC236}">
              <a16:creationId xmlns:a16="http://schemas.microsoft.com/office/drawing/2014/main" id="{D1985090-B88A-4C87-AFEB-B92B3752543B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2653" name="Text Box 704">
          <a:extLst>
            <a:ext uri="{FF2B5EF4-FFF2-40B4-BE49-F238E27FC236}">
              <a16:creationId xmlns:a16="http://schemas.microsoft.com/office/drawing/2014/main" id="{DED1E6F9-5A09-4466-AC39-F8D7DC467816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2654" name="Text Box 705">
          <a:extLst>
            <a:ext uri="{FF2B5EF4-FFF2-40B4-BE49-F238E27FC236}">
              <a16:creationId xmlns:a16="http://schemas.microsoft.com/office/drawing/2014/main" id="{8D9D7930-6E41-47C5-A32E-FE1D5CD7D614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2655" name="Text Box 706">
          <a:extLst>
            <a:ext uri="{FF2B5EF4-FFF2-40B4-BE49-F238E27FC236}">
              <a16:creationId xmlns:a16="http://schemas.microsoft.com/office/drawing/2014/main" id="{A817FB4C-F5BC-4E71-88F9-49DA2F72CD9C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2656" name="Text Box 707">
          <a:extLst>
            <a:ext uri="{FF2B5EF4-FFF2-40B4-BE49-F238E27FC236}">
              <a16:creationId xmlns:a16="http://schemas.microsoft.com/office/drawing/2014/main" id="{1AA3D824-EB75-4F2F-A733-45FDC203E657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2657" name="Text Box 708">
          <a:extLst>
            <a:ext uri="{FF2B5EF4-FFF2-40B4-BE49-F238E27FC236}">
              <a16:creationId xmlns:a16="http://schemas.microsoft.com/office/drawing/2014/main" id="{757329B3-1D56-4860-B870-363F2B8B784A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2658" name="Text Box 709">
          <a:extLst>
            <a:ext uri="{FF2B5EF4-FFF2-40B4-BE49-F238E27FC236}">
              <a16:creationId xmlns:a16="http://schemas.microsoft.com/office/drawing/2014/main" id="{79BEF5B2-B19E-4EC3-98ED-8F832F85893C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2659" name="Text Box 710">
          <a:extLst>
            <a:ext uri="{FF2B5EF4-FFF2-40B4-BE49-F238E27FC236}">
              <a16:creationId xmlns:a16="http://schemas.microsoft.com/office/drawing/2014/main" id="{F29420F6-0168-49BA-BB80-E84F6A4F4000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2660" name="Text Box 711">
          <a:extLst>
            <a:ext uri="{FF2B5EF4-FFF2-40B4-BE49-F238E27FC236}">
              <a16:creationId xmlns:a16="http://schemas.microsoft.com/office/drawing/2014/main" id="{9B52B6E3-321C-4067-8699-E8644AB85496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2661" name="Text Box 712">
          <a:extLst>
            <a:ext uri="{FF2B5EF4-FFF2-40B4-BE49-F238E27FC236}">
              <a16:creationId xmlns:a16="http://schemas.microsoft.com/office/drawing/2014/main" id="{9A4A0C85-984A-470D-B66E-892F3406E9D6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2662" name="Text Box 713">
          <a:extLst>
            <a:ext uri="{FF2B5EF4-FFF2-40B4-BE49-F238E27FC236}">
              <a16:creationId xmlns:a16="http://schemas.microsoft.com/office/drawing/2014/main" id="{15761EE7-ABD5-499B-AD38-B9ED05125F52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2663" name="Text Box 714">
          <a:extLst>
            <a:ext uri="{FF2B5EF4-FFF2-40B4-BE49-F238E27FC236}">
              <a16:creationId xmlns:a16="http://schemas.microsoft.com/office/drawing/2014/main" id="{CB89DF7A-BC77-44FF-8AAF-817B891D4B36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2664" name="Text Box 715">
          <a:extLst>
            <a:ext uri="{FF2B5EF4-FFF2-40B4-BE49-F238E27FC236}">
              <a16:creationId xmlns:a16="http://schemas.microsoft.com/office/drawing/2014/main" id="{0A01D057-53FC-4215-BB69-55A464406FAF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2665" name="Text Box 716">
          <a:extLst>
            <a:ext uri="{FF2B5EF4-FFF2-40B4-BE49-F238E27FC236}">
              <a16:creationId xmlns:a16="http://schemas.microsoft.com/office/drawing/2014/main" id="{B0C7A949-C266-4DAF-B127-9753B91CFC02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2666" name="Text Box 717">
          <a:extLst>
            <a:ext uri="{FF2B5EF4-FFF2-40B4-BE49-F238E27FC236}">
              <a16:creationId xmlns:a16="http://schemas.microsoft.com/office/drawing/2014/main" id="{4E6A74A8-F08A-4FB1-9AE3-6571822AA815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2667" name="Text Box 718">
          <a:extLst>
            <a:ext uri="{FF2B5EF4-FFF2-40B4-BE49-F238E27FC236}">
              <a16:creationId xmlns:a16="http://schemas.microsoft.com/office/drawing/2014/main" id="{A78EDDAB-5EE5-4B29-B964-A131E8597B39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2668" name="Text Box 719">
          <a:extLst>
            <a:ext uri="{FF2B5EF4-FFF2-40B4-BE49-F238E27FC236}">
              <a16:creationId xmlns:a16="http://schemas.microsoft.com/office/drawing/2014/main" id="{14911837-C602-4192-9007-4A83F178CE70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2669" name="Text Box 720">
          <a:extLst>
            <a:ext uri="{FF2B5EF4-FFF2-40B4-BE49-F238E27FC236}">
              <a16:creationId xmlns:a16="http://schemas.microsoft.com/office/drawing/2014/main" id="{3DADECBE-678B-4C60-9A4E-91F85CAC0E59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2670" name="Text Box 721">
          <a:extLst>
            <a:ext uri="{FF2B5EF4-FFF2-40B4-BE49-F238E27FC236}">
              <a16:creationId xmlns:a16="http://schemas.microsoft.com/office/drawing/2014/main" id="{2B7FAEDA-DE1E-436E-B111-BC7EC5BA0D50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2671" name="Text Box 722">
          <a:extLst>
            <a:ext uri="{FF2B5EF4-FFF2-40B4-BE49-F238E27FC236}">
              <a16:creationId xmlns:a16="http://schemas.microsoft.com/office/drawing/2014/main" id="{8EC9487E-6EBB-495E-9FBC-5904F57898C8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2672" name="Text Box 723">
          <a:extLst>
            <a:ext uri="{FF2B5EF4-FFF2-40B4-BE49-F238E27FC236}">
              <a16:creationId xmlns:a16="http://schemas.microsoft.com/office/drawing/2014/main" id="{D486CC3D-C1F1-40D8-8C17-9C9605C535F3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2673" name="Text Box 724">
          <a:extLst>
            <a:ext uri="{FF2B5EF4-FFF2-40B4-BE49-F238E27FC236}">
              <a16:creationId xmlns:a16="http://schemas.microsoft.com/office/drawing/2014/main" id="{D25CA403-8D73-4599-9D45-A1FA6354AAD4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2674" name="Text Box 725">
          <a:extLst>
            <a:ext uri="{FF2B5EF4-FFF2-40B4-BE49-F238E27FC236}">
              <a16:creationId xmlns:a16="http://schemas.microsoft.com/office/drawing/2014/main" id="{8D6EC64E-4C7F-4E78-9434-C80989DBDF11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2675" name="Text Box 726">
          <a:extLst>
            <a:ext uri="{FF2B5EF4-FFF2-40B4-BE49-F238E27FC236}">
              <a16:creationId xmlns:a16="http://schemas.microsoft.com/office/drawing/2014/main" id="{352FBC99-EDA3-4105-900B-AE140F3CBE9B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2676" name="Text Box 727">
          <a:extLst>
            <a:ext uri="{FF2B5EF4-FFF2-40B4-BE49-F238E27FC236}">
              <a16:creationId xmlns:a16="http://schemas.microsoft.com/office/drawing/2014/main" id="{46816273-CC62-4632-878A-31288DBB51EB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2677" name="Text Box 728">
          <a:extLst>
            <a:ext uri="{FF2B5EF4-FFF2-40B4-BE49-F238E27FC236}">
              <a16:creationId xmlns:a16="http://schemas.microsoft.com/office/drawing/2014/main" id="{66A263A3-1584-4969-8DF8-07B7E022A330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2678" name="Text Box 729">
          <a:extLst>
            <a:ext uri="{FF2B5EF4-FFF2-40B4-BE49-F238E27FC236}">
              <a16:creationId xmlns:a16="http://schemas.microsoft.com/office/drawing/2014/main" id="{67CEFD76-4AC1-43C3-A3E5-6CD331FB7987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2679" name="Text Box 730">
          <a:extLst>
            <a:ext uri="{FF2B5EF4-FFF2-40B4-BE49-F238E27FC236}">
              <a16:creationId xmlns:a16="http://schemas.microsoft.com/office/drawing/2014/main" id="{C3A79B32-E855-4CB0-8D77-715EDFA5FE15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2680" name="Text Box 731">
          <a:extLst>
            <a:ext uri="{FF2B5EF4-FFF2-40B4-BE49-F238E27FC236}">
              <a16:creationId xmlns:a16="http://schemas.microsoft.com/office/drawing/2014/main" id="{B57311D7-055E-4A60-97EC-AD7FEE445ED7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2681" name="Text Box 732">
          <a:extLst>
            <a:ext uri="{FF2B5EF4-FFF2-40B4-BE49-F238E27FC236}">
              <a16:creationId xmlns:a16="http://schemas.microsoft.com/office/drawing/2014/main" id="{8482F060-DFE0-47A7-8D81-E600D32DF11E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2682" name="Text Box 733">
          <a:extLst>
            <a:ext uri="{FF2B5EF4-FFF2-40B4-BE49-F238E27FC236}">
              <a16:creationId xmlns:a16="http://schemas.microsoft.com/office/drawing/2014/main" id="{7F56A31C-87FE-4AF9-B592-EEAF692EFFCD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2683" name="Text Box 734">
          <a:extLst>
            <a:ext uri="{FF2B5EF4-FFF2-40B4-BE49-F238E27FC236}">
              <a16:creationId xmlns:a16="http://schemas.microsoft.com/office/drawing/2014/main" id="{C35621D2-92EF-49FF-AC2B-0736D3C41960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2684" name="Text Box 735">
          <a:extLst>
            <a:ext uri="{FF2B5EF4-FFF2-40B4-BE49-F238E27FC236}">
              <a16:creationId xmlns:a16="http://schemas.microsoft.com/office/drawing/2014/main" id="{3AF03A8C-6860-42A6-A876-B961A466DCB6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2685" name="Text Box 736">
          <a:extLst>
            <a:ext uri="{FF2B5EF4-FFF2-40B4-BE49-F238E27FC236}">
              <a16:creationId xmlns:a16="http://schemas.microsoft.com/office/drawing/2014/main" id="{5C11FAE5-66B7-4F6C-81E8-6E239198BC4C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2686" name="Text Box 737">
          <a:extLst>
            <a:ext uri="{FF2B5EF4-FFF2-40B4-BE49-F238E27FC236}">
              <a16:creationId xmlns:a16="http://schemas.microsoft.com/office/drawing/2014/main" id="{61EFB801-C67F-46E2-967C-057BFD4CA78C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2687" name="Text Box 738">
          <a:extLst>
            <a:ext uri="{FF2B5EF4-FFF2-40B4-BE49-F238E27FC236}">
              <a16:creationId xmlns:a16="http://schemas.microsoft.com/office/drawing/2014/main" id="{9E8A99F3-CA7F-4DBB-9EF9-24B79E686526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2688" name="Text Box 739">
          <a:extLst>
            <a:ext uri="{FF2B5EF4-FFF2-40B4-BE49-F238E27FC236}">
              <a16:creationId xmlns:a16="http://schemas.microsoft.com/office/drawing/2014/main" id="{19E93410-0443-4686-8801-1D2A514FB024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2689" name="Text Box 740">
          <a:extLst>
            <a:ext uri="{FF2B5EF4-FFF2-40B4-BE49-F238E27FC236}">
              <a16:creationId xmlns:a16="http://schemas.microsoft.com/office/drawing/2014/main" id="{E8454B10-38AA-425C-BC07-1533F56CEC93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2690" name="Text Box 741">
          <a:extLst>
            <a:ext uri="{FF2B5EF4-FFF2-40B4-BE49-F238E27FC236}">
              <a16:creationId xmlns:a16="http://schemas.microsoft.com/office/drawing/2014/main" id="{25777111-AF08-4650-A15E-AC6E34693D91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2691" name="Text Box 742">
          <a:extLst>
            <a:ext uri="{FF2B5EF4-FFF2-40B4-BE49-F238E27FC236}">
              <a16:creationId xmlns:a16="http://schemas.microsoft.com/office/drawing/2014/main" id="{A4F44CED-148C-4A4D-B93E-FD3EE56658F5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2692" name="Text Box 743">
          <a:extLst>
            <a:ext uri="{FF2B5EF4-FFF2-40B4-BE49-F238E27FC236}">
              <a16:creationId xmlns:a16="http://schemas.microsoft.com/office/drawing/2014/main" id="{4E3D7419-BE08-49CB-8792-00712DA635B0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2693" name="Text Box 744">
          <a:extLst>
            <a:ext uri="{FF2B5EF4-FFF2-40B4-BE49-F238E27FC236}">
              <a16:creationId xmlns:a16="http://schemas.microsoft.com/office/drawing/2014/main" id="{21AF3C48-BD71-43F1-8F00-216A14857B49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2694" name="Text Box 745">
          <a:extLst>
            <a:ext uri="{FF2B5EF4-FFF2-40B4-BE49-F238E27FC236}">
              <a16:creationId xmlns:a16="http://schemas.microsoft.com/office/drawing/2014/main" id="{83AE0D95-1D30-4E3C-8FDB-8FE063A7DDA8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2695" name="Text Box 746">
          <a:extLst>
            <a:ext uri="{FF2B5EF4-FFF2-40B4-BE49-F238E27FC236}">
              <a16:creationId xmlns:a16="http://schemas.microsoft.com/office/drawing/2014/main" id="{17215880-C66C-4B47-A893-AEFB6A732FA9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2696" name="Text Box 747">
          <a:extLst>
            <a:ext uri="{FF2B5EF4-FFF2-40B4-BE49-F238E27FC236}">
              <a16:creationId xmlns:a16="http://schemas.microsoft.com/office/drawing/2014/main" id="{25FBE15E-70B4-4C45-8B1D-CDC913C85E99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2697" name="Text Box 748">
          <a:extLst>
            <a:ext uri="{FF2B5EF4-FFF2-40B4-BE49-F238E27FC236}">
              <a16:creationId xmlns:a16="http://schemas.microsoft.com/office/drawing/2014/main" id="{805715C4-E349-4414-8032-37A73BEB7212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2698" name="Text Box 749">
          <a:extLst>
            <a:ext uri="{FF2B5EF4-FFF2-40B4-BE49-F238E27FC236}">
              <a16:creationId xmlns:a16="http://schemas.microsoft.com/office/drawing/2014/main" id="{EAC32DEC-ADE9-43A8-8AF6-F624C4081C90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2699" name="Text Box 750">
          <a:extLst>
            <a:ext uri="{FF2B5EF4-FFF2-40B4-BE49-F238E27FC236}">
              <a16:creationId xmlns:a16="http://schemas.microsoft.com/office/drawing/2014/main" id="{FAF1787F-067B-454A-BF4E-A78A95EB8D02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2700" name="Text Box 751">
          <a:extLst>
            <a:ext uri="{FF2B5EF4-FFF2-40B4-BE49-F238E27FC236}">
              <a16:creationId xmlns:a16="http://schemas.microsoft.com/office/drawing/2014/main" id="{5FAFCEB9-248C-4E48-988D-A52EF7AC9FA1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2701" name="Text Box 752">
          <a:extLst>
            <a:ext uri="{FF2B5EF4-FFF2-40B4-BE49-F238E27FC236}">
              <a16:creationId xmlns:a16="http://schemas.microsoft.com/office/drawing/2014/main" id="{A532018F-76C5-4612-9F17-D1CB7540B3F4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2702" name="Text Box 753">
          <a:extLst>
            <a:ext uri="{FF2B5EF4-FFF2-40B4-BE49-F238E27FC236}">
              <a16:creationId xmlns:a16="http://schemas.microsoft.com/office/drawing/2014/main" id="{9F78739F-8519-4B01-9F26-375BE8C3D60D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2703" name="Text Box 754">
          <a:extLst>
            <a:ext uri="{FF2B5EF4-FFF2-40B4-BE49-F238E27FC236}">
              <a16:creationId xmlns:a16="http://schemas.microsoft.com/office/drawing/2014/main" id="{CFA1AC96-3AB1-4CDA-BE7B-B9A1263A85BA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2704" name="Text Box 755">
          <a:extLst>
            <a:ext uri="{FF2B5EF4-FFF2-40B4-BE49-F238E27FC236}">
              <a16:creationId xmlns:a16="http://schemas.microsoft.com/office/drawing/2014/main" id="{3D0362F2-0F00-4BA2-A0A3-C497A9865638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2705" name="Text Box 756">
          <a:extLst>
            <a:ext uri="{FF2B5EF4-FFF2-40B4-BE49-F238E27FC236}">
              <a16:creationId xmlns:a16="http://schemas.microsoft.com/office/drawing/2014/main" id="{893F0731-5DC4-4B59-BD40-E256561B418E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2706" name="Text Box 757">
          <a:extLst>
            <a:ext uri="{FF2B5EF4-FFF2-40B4-BE49-F238E27FC236}">
              <a16:creationId xmlns:a16="http://schemas.microsoft.com/office/drawing/2014/main" id="{8262FAC6-9C6C-42E4-9CDE-158BFFA4130F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2707" name="Text Box 758">
          <a:extLst>
            <a:ext uri="{FF2B5EF4-FFF2-40B4-BE49-F238E27FC236}">
              <a16:creationId xmlns:a16="http://schemas.microsoft.com/office/drawing/2014/main" id="{FB61E463-E2E5-4B59-9CB4-1B756C066E6F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2708" name="Text Box 759">
          <a:extLst>
            <a:ext uri="{FF2B5EF4-FFF2-40B4-BE49-F238E27FC236}">
              <a16:creationId xmlns:a16="http://schemas.microsoft.com/office/drawing/2014/main" id="{EB968BFC-41D6-42EC-B5BB-E234918CA732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2709" name="Text Box 760">
          <a:extLst>
            <a:ext uri="{FF2B5EF4-FFF2-40B4-BE49-F238E27FC236}">
              <a16:creationId xmlns:a16="http://schemas.microsoft.com/office/drawing/2014/main" id="{541674CD-B99A-4629-883D-C948AC090171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2710" name="Text Box 761">
          <a:extLst>
            <a:ext uri="{FF2B5EF4-FFF2-40B4-BE49-F238E27FC236}">
              <a16:creationId xmlns:a16="http://schemas.microsoft.com/office/drawing/2014/main" id="{1F379EB6-E904-4A43-A207-A27223D68082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2711" name="Text Box 762">
          <a:extLst>
            <a:ext uri="{FF2B5EF4-FFF2-40B4-BE49-F238E27FC236}">
              <a16:creationId xmlns:a16="http://schemas.microsoft.com/office/drawing/2014/main" id="{CDA8095D-DB3A-45F6-A071-05470C08A75D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2712" name="Text Box 763">
          <a:extLst>
            <a:ext uri="{FF2B5EF4-FFF2-40B4-BE49-F238E27FC236}">
              <a16:creationId xmlns:a16="http://schemas.microsoft.com/office/drawing/2014/main" id="{71D74E35-C2A2-4C63-836E-8E0AA6DA7D69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2713" name="Text Box 764">
          <a:extLst>
            <a:ext uri="{FF2B5EF4-FFF2-40B4-BE49-F238E27FC236}">
              <a16:creationId xmlns:a16="http://schemas.microsoft.com/office/drawing/2014/main" id="{C0915E9F-88F3-4D15-A50B-39AEB4AC436C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2714" name="Text Box 765">
          <a:extLst>
            <a:ext uri="{FF2B5EF4-FFF2-40B4-BE49-F238E27FC236}">
              <a16:creationId xmlns:a16="http://schemas.microsoft.com/office/drawing/2014/main" id="{81F1862B-CD0B-4FB6-B1F3-12CF1D3A7542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2715" name="Text Box 766">
          <a:extLst>
            <a:ext uri="{FF2B5EF4-FFF2-40B4-BE49-F238E27FC236}">
              <a16:creationId xmlns:a16="http://schemas.microsoft.com/office/drawing/2014/main" id="{41A6C9D4-D5BB-40F4-93A2-665833FABB9A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2716" name="Text Box 767">
          <a:extLst>
            <a:ext uri="{FF2B5EF4-FFF2-40B4-BE49-F238E27FC236}">
              <a16:creationId xmlns:a16="http://schemas.microsoft.com/office/drawing/2014/main" id="{0C7BF82B-E64A-479A-B0F7-9C6AE730BD96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2717" name="Text Box 768">
          <a:extLst>
            <a:ext uri="{FF2B5EF4-FFF2-40B4-BE49-F238E27FC236}">
              <a16:creationId xmlns:a16="http://schemas.microsoft.com/office/drawing/2014/main" id="{D04F17B6-EA06-444B-9F39-3E1263F848C7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2718" name="Text Box 769">
          <a:extLst>
            <a:ext uri="{FF2B5EF4-FFF2-40B4-BE49-F238E27FC236}">
              <a16:creationId xmlns:a16="http://schemas.microsoft.com/office/drawing/2014/main" id="{16855091-B22D-4663-AC04-3182B017C7A5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2719" name="Text Box 770">
          <a:extLst>
            <a:ext uri="{FF2B5EF4-FFF2-40B4-BE49-F238E27FC236}">
              <a16:creationId xmlns:a16="http://schemas.microsoft.com/office/drawing/2014/main" id="{00371360-8C1C-466F-B1A9-7FA18596A3C1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2720" name="Text Box 771">
          <a:extLst>
            <a:ext uri="{FF2B5EF4-FFF2-40B4-BE49-F238E27FC236}">
              <a16:creationId xmlns:a16="http://schemas.microsoft.com/office/drawing/2014/main" id="{CCFCB717-28E5-4B9D-8722-3212BD75FE68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2721" name="Text Box 772">
          <a:extLst>
            <a:ext uri="{FF2B5EF4-FFF2-40B4-BE49-F238E27FC236}">
              <a16:creationId xmlns:a16="http://schemas.microsoft.com/office/drawing/2014/main" id="{6428822F-E6B9-410A-B15F-597E080036BC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2722" name="Text Box 773">
          <a:extLst>
            <a:ext uri="{FF2B5EF4-FFF2-40B4-BE49-F238E27FC236}">
              <a16:creationId xmlns:a16="http://schemas.microsoft.com/office/drawing/2014/main" id="{B23CB5CC-FE9F-4520-B50F-AB0C22652CB8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2723" name="Text Box 774">
          <a:extLst>
            <a:ext uri="{FF2B5EF4-FFF2-40B4-BE49-F238E27FC236}">
              <a16:creationId xmlns:a16="http://schemas.microsoft.com/office/drawing/2014/main" id="{4399EEFF-C51E-4D90-B3DA-B5D5F6F9A417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2724" name="Text Box 775">
          <a:extLst>
            <a:ext uri="{FF2B5EF4-FFF2-40B4-BE49-F238E27FC236}">
              <a16:creationId xmlns:a16="http://schemas.microsoft.com/office/drawing/2014/main" id="{5AA07FA8-2BE1-426F-9C3E-F5848C19C0FC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2725" name="Text Box 776">
          <a:extLst>
            <a:ext uri="{FF2B5EF4-FFF2-40B4-BE49-F238E27FC236}">
              <a16:creationId xmlns:a16="http://schemas.microsoft.com/office/drawing/2014/main" id="{0179AB85-AB0F-4910-9F26-2980A7481CCA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36</xdr:col>
      <xdr:colOff>0</xdr:colOff>
      <xdr:row>133</xdr:row>
      <xdr:rowOff>0</xdr:rowOff>
    </xdr:from>
    <xdr:to>
      <xdr:col>37</xdr:col>
      <xdr:colOff>323850</xdr:colOff>
      <xdr:row>134</xdr:row>
      <xdr:rowOff>0</xdr:rowOff>
    </xdr:to>
    <xdr:sp macro="" textlink="">
      <xdr:nvSpPr>
        <xdr:cNvPr id="2726" name="Text Box 777">
          <a:extLst>
            <a:ext uri="{FF2B5EF4-FFF2-40B4-BE49-F238E27FC236}">
              <a16:creationId xmlns:a16="http://schemas.microsoft.com/office/drawing/2014/main" id="{53515000-5046-47C8-A5F5-10DF831EDDC4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2727" name="Text Box 693">
          <a:extLst>
            <a:ext uri="{FF2B5EF4-FFF2-40B4-BE49-F238E27FC236}">
              <a16:creationId xmlns:a16="http://schemas.microsoft.com/office/drawing/2014/main" id="{916C9C15-48EC-4CC7-8200-68284BC1CC47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2728" name="Text Box 694">
          <a:extLst>
            <a:ext uri="{FF2B5EF4-FFF2-40B4-BE49-F238E27FC236}">
              <a16:creationId xmlns:a16="http://schemas.microsoft.com/office/drawing/2014/main" id="{0A46A801-1E0F-45DC-89CF-DFADC7421FD5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2729" name="Text Box 695">
          <a:extLst>
            <a:ext uri="{FF2B5EF4-FFF2-40B4-BE49-F238E27FC236}">
              <a16:creationId xmlns:a16="http://schemas.microsoft.com/office/drawing/2014/main" id="{3D0C93D8-071E-426F-AAE2-B951FB97C61A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2730" name="Text Box 696">
          <a:extLst>
            <a:ext uri="{FF2B5EF4-FFF2-40B4-BE49-F238E27FC236}">
              <a16:creationId xmlns:a16="http://schemas.microsoft.com/office/drawing/2014/main" id="{24D96C05-0735-49D9-AC27-9E234A6A99C4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2731" name="Text Box 697">
          <a:extLst>
            <a:ext uri="{FF2B5EF4-FFF2-40B4-BE49-F238E27FC236}">
              <a16:creationId xmlns:a16="http://schemas.microsoft.com/office/drawing/2014/main" id="{B791076B-0917-4EA0-A88B-3643A5C53DF6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2732" name="Text Box 698">
          <a:extLst>
            <a:ext uri="{FF2B5EF4-FFF2-40B4-BE49-F238E27FC236}">
              <a16:creationId xmlns:a16="http://schemas.microsoft.com/office/drawing/2014/main" id="{55DEDC68-72C8-4A63-B8CA-B7F77B6A2357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2733" name="Text Box 699">
          <a:extLst>
            <a:ext uri="{FF2B5EF4-FFF2-40B4-BE49-F238E27FC236}">
              <a16:creationId xmlns:a16="http://schemas.microsoft.com/office/drawing/2014/main" id="{2755280D-D8EC-4DD6-A3B4-C91EE6A76353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2734" name="Text Box 700">
          <a:extLst>
            <a:ext uri="{FF2B5EF4-FFF2-40B4-BE49-F238E27FC236}">
              <a16:creationId xmlns:a16="http://schemas.microsoft.com/office/drawing/2014/main" id="{0FC726F2-1046-419D-8D30-1EA35CB021D7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2735" name="Text Box 701">
          <a:extLst>
            <a:ext uri="{FF2B5EF4-FFF2-40B4-BE49-F238E27FC236}">
              <a16:creationId xmlns:a16="http://schemas.microsoft.com/office/drawing/2014/main" id="{87DBAD2B-9ED5-41B2-BFD3-8641B495AF72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2736" name="Text Box 702">
          <a:extLst>
            <a:ext uri="{FF2B5EF4-FFF2-40B4-BE49-F238E27FC236}">
              <a16:creationId xmlns:a16="http://schemas.microsoft.com/office/drawing/2014/main" id="{E96073AB-43FC-4D51-BE15-99BD14AAF971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2737" name="Text Box 703">
          <a:extLst>
            <a:ext uri="{FF2B5EF4-FFF2-40B4-BE49-F238E27FC236}">
              <a16:creationId xmlns:a16="http://schemas.microsoft.com/office/drawing/2014/main" id="{3EC1D6A2-C342-4ADC-963A-55C97CB0F285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2738" name="Text Box 704">
          <a:extLst>
            <a:ext uri="{FF2B5EF4-FFF2-40B4-BE49-F238E27FC236}">
              <a16:creationId xmlns:a16="http://schemas.microsoft.com/office/drawing/2014/main" id="{5E527173-1BCE-457E-9EB7-378E789B2C0F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2739" name="Text Box 705">
          <a:extLst>
            <a:ext uri="{FF2B5EF4-FFF2-40B4-BE49-F238E27FC236}">
              <a16:creationId xmlns:a16="http://schemas.microsoft.com/office/drawing/2014/main" id="{BB45A8A4-DE58-4814-8D3C-752114F83D12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2740" name="Text Box 706">
          <a:extLst>
            <a:ext uri="{FF2B5EF4-FFF2-40B4-BE49-F238E27FC236}">
              <a16:creationId xmlns:a16="http://schemas.microsoft.com/office/drawing/2014/main" id="{C1ED54AD-047D-429E-A873-E560EF8F2BF8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2741" name="Text Box 707">
          <a:extLst>
            <a:ext uri="{FF2B5EF4-FFF2-40B4-BE49-F238E27FC236}">
              <a16:creationId xmlns:a16="http://schemas.microsoft.com/office/drawing/2014/main" id="{654C471E-EA6F-4860-91A6-76B43EAEC458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2742" name="Text Box 708">
          <a:extLst>
            <a:ext uri="{FF2B5EF4-FFF2-40B4-BE49-F238E27FC236}">
              <a16:creationId xmlns:a16="http://schemas.microsoft.com/office/drawing/2014/main" id="{3271A1B1-134F-4FFA-821D-AACFF70F68A5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2743" name="Text Box 709">
          <a:extLst>
            <a:ext uri="{FF2B5EF4-FFF2-40B4-BE49-F238E27FC236}">
              <a16:creationId xmlns:a16="http://schemas.microsoft.com/office/drawing/2014/main" id="{8A7A2152-99C4-4578-8677-48668B5D07F0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2744" name="Text Box 710">
          <a:extLst>
            <a:ext uri="{FF2B5EF4-FFF2-40B4-BE49-F238E27FC236}">
              <a16:creationId xmlns:a16="http://schemas.microsoft.com/office/drawing/2014/main" id="{F223861C-A2BC-4A6B-84D3-B71F4215A25E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2745" name="Text Box 711">
          <a:extLst>
            <a:ext uri="{FF2B5EF4-FFF2-40B4-BE49-F238E27FC236}">
              <a16:creationId xmlns:a16="http://schemas.microsoft.com/office/drawing/2014/main" id="{5F92FFB2-1C06-41FF-8D9E-C6E5CC71F44C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2746" name="Text Box 712">
          <a:extLst>
            <a:ext uri="{FF2B5EF4-FFF2-40B4-BE49-F238E27FC236}">
              <a16:creationId xmlns:a16="http://schemas.microsoft.com/office/drawing/2014/main" id="{49D84D32-B4BC-4982-90AC-E1A81C3DA588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2747" name="Text Box 713">
          <a:extLst>
            <a:ext uri="{FF2B5EF4-FFF2-40B4-BE49-F238E27FC236}">
              <a16:creationId xmlns:a16="http://schemas.microsoft.com/office/drawing/2014/main" id="{B60FEF02-E4FF-47E4-AD36-FC32BD25E6DA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2748" name="Text Box 714">
          <a:extLst>
            <a:ext uri="{FF2B5EF4-FFF2-40B4-BE49-F238E27FC236}">
              <a16:creationId xmlns:a16="http://schemas.microsoft.com/office/drawing/2014/main" id="{2CB67857-572B-49A6-B48D-F9328D2D73D9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2749" name="Text Box 715">
          <a:extLst>
            <a:ext uri="{FF2B5EF4-FFF2-40B4-BE49-F238E27FC236}">
              <a16:creationId xmlns:a16="http://schemas.microsoft.com/office/drawing/2014/main" id="{15F78C77-5118-44EF-AD0B-36D1BFA1D2EA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2750" name="Text Box 716">
          <a:extLst>
            <a:ext uri="{FF2B5EF4-FFF2-40B4-BE49-F238E27FC236}">
              <a16:creationId xmlns:a16="http://schemas.microsoft.com/office/drawing/2014/main" id="{57E8FDFF-8C79-460D-BDFF-DF34736DE5DC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2751" name="Text Box 717">
          <a:extLst>
            <a:ext uri="{FF2B5EF4-FFF2-40B4-BE49-F238E27FC236}">
              <a16:creationId xmlns:a16="http://schemas.microsoft.com/office/drawing/2014/main" id="{128AAC77-12AB-43DA-BA71-2AC41389AD5B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2752" name="Text Box 718">
          <a:extLst>
            <a:ext uri="{FF2B5EF4-FFF2-40B4-BE49-F238E27FC236}">
              <a16:creationId xmlns:a16="http://schemas.microsoft.com/office/drawing/2014/main" id="{194E6502-ACC3-4B6F-AA5F-CDDF69B69A54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2753" name="Text Box 719">
          <a:extLst>
            <a:ext uri="{FF2B5EF4-FFF2-40B4-BE49-F238E27FC236}">
              <a16:creationId xmlns:a16="http://schemas.microsoft.com/office/drawing/2014/main" id="{F3E87310-F31B-44E7-9558-A3557731488D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2754" name="Text Box 720">
          <a:extLst>
            <a:ext uri="{FF2B5EF4-FFF2-40B4-BE49-F238E27FC236}">
              <a16:creationId xmlns:a16="http://schemas.microsoft.com/office/drawing/2014/main" id="{E9E92A65-F35C-4D3E-BD17-5794621006A6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2755" name="Text Box 721">
          <a:extLst>
            <a:ext uri="{FF2B5EF4-FFF2-40B4-BE49-F238E27FC236}">
              <a16:creationId xmlns:a16="http://schemas.microsoft.com/office/drawing/2014/main" id="{C82B9B6A-9A46-44FF-AC6C-19144D5E34B5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2756" name="Text Box 722">
          <a:extLst>
            <a:ext uri="{FF2B5EF4-FFF2-40B4-BE49-F238E27FC236}">
              <a16:creationId xmlns:a16="http://schemas.microsoft.com/office/drawing/2014/main" id="{FA95B44A-08F1-4DCB-9ED6-F9545E1B60AD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2757" name="Text Box 723">
          <a:extLst>
            <a:ext uri="{FF2B5EF4-FFF2-40B4-BE49-F238E27FC236}">
              <a16:creationId xmlns:a16="http://schemas.microsoft.com/office/drawing/2014/main" id="{23D55983-26FD-4676-A965-92457A777AB4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2758" name="Text Box 724">
          <a:extLst>
            <a:ext uri="{FF2B5EF4-FFF2-40B4-BE49-F238E27FC236}">
              <a16:creationId xmlns:a16="http://schemas.microsoft.com/office/drawing/2014/main" id="{DA0001AF-7FBF-478E-93CE-EBFCE2BD6FC1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2759" name="Text Box 725">
          <a:extLst>
            <a:ext uri="{FF2B5EF4-FFF2-40B4-BE49-F238E27FC236}">
              <a16:creationId xmlns:a16="http://schemas.microsoft.com/office/drawing/2014/main" id="{B76BBC97-4B1F-4DA4-9E41-3A635064AAC0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2760" name="Text Box 726">
          <a:extLst>
            <a:ext uri="{FF2B5EF4-FFF2-40B4-BE49-F238E27FC236}">
              <a16:creationId xmlns:a16="http://schemas.microsoft.com/office/drawing/2014/main" id="{5211C2EA-62AC-4196-9D8B-55F0AA676A67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2761" name="Text Box 727">
          <a:extLst>
            <a:ext uri="{FF2B5EF4-FFF2-40B4-BE49-F238E27FC236}">
              <a16:creationId xmlns:a16="http://schemas.microsoft.com/office/drawing/2014/main" id="{B2BDD44B-F89E-4537-97B8-70928B994024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2762" name="Text Box 728">
          <a:extLst>
            <a:ext uri="{FF2B5EF4-FFF2-40B4-BE49-F238E27FC236}">
              <a16:creationId xmlns:a16="http://schemas.microsoft.com/office/drawing/2014/main" id="{13D04985-420C-41E4-AFC5-BC45DE176C21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2763" name="Text Box 729">
          <a:extLst>
            <a:ext uri="{FF2B5EF4-FFF2-40B4-BE49-F238E27FC236}">
              <a16:creationId xmlns:a16="http://schemas.microsoft.com/office/drawing/2014/main" id="{342B8120-4EFA-48D1-B5BC-A33328909481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2764" name="Text Box 730">
          <a:extLst>
            <a:ext uri="{FF2B5EF4-FFF2-40B4-BE49-F238E27FC236}">
              <a16:creationId xmlns:a16="http://schemas.microsoft.com/office/drawing/2014/main" id="{199AEE7F-5A4E-408A-B759-EBF1AFF9562A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2765" name="Text Box 731">
          <a:extLst>
            <a:ext uri="{FF2B5EF4-FFF2-40B4-BE49-F238E27FC236}">
              <a16:creationId xmlns:a16="http://schemas.microsoft.com/office/drawing/2014/main" id="{026C6FD1-F94B-498F-9A35-8189036080BD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2766" name="Text Box 732">
          <a:extLst>
            <a:ext uri="{FF2B5EF4-FFF2-40B4-BE49-F238E27FC236}">
              <a16:creationId xmlns:a16="http://schemas.microsoft.com/office/drawing/2014/main" id="{E5D02C06-ED11-4AF9-85AC-684CA4CD13C1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2767" name="Text Box 733">
          <a:extLst>
            <a:ext uri="{FF2B5EF4-FFF2-40B4-BE49-F238E27FC236}">
              <a16:creationId xmlns:a16="http://schemas.microsoft.com/office/drawing/2014/main" id="{AEC56DB1-37AA-464A-B4DE-7D4791151BD9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2768" name="Text Box 734">
          <a:extLst>
            <a:ext uri="{FF2B5EF4-FFF2-40B4-BE49-F238E27FC236}">
              <a16:creationId xmlns:a16="http://schemas.microsoft.com/office/drawing/2014/main" id="{AEA88C0E-4DD1-4D80-9A79-C9C0AE0ED711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2769" name="Text Box 735">
          <a:extLst>
            <a:ext uri="{FF2B5EF4-FFF2-40B4-BE49-F238E27FC236}">
              <a16:creationId xmlns:a16="http://schemas.microsoft.com/office/drawing/2014/main" id="{74CB02FA-E6B3-4F46-8266-846D74E5515E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2770" name="Text Box 736">
          <a:extLst>
            <a:ext uri="{FF2B5EF4-FFF2-40B4-BE49-F238E27FC236}">
              <a16:creationId xmlns:a16="http://schemas.microsoft.com/office/drawing/2014/main" id="{34FEA093-2D51-4DE3-BCE3-1DB008E66C01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2771" name="Text Box 737">
          <a:extLst>
            <a:ext uri="{FF2B5EF4-FFF2-40B4-BE49-F238E27FC236}">
              <a16:creationId xmlns:a16="http://schemas.microsoft.com/office/drawing/2014/main" id="{4879E68A-0D9D-431A-9EFB-4F79EF34E00E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2772" name="Text Box 738">
          <a:extLst>
            <a:ext uri="{FF2B5EF4-FFF2-40B4-BE49-F238E27FC236}">
              <a16:creationId xmlns:a16="http://schemas.microsoft.com/office/drawing/2014/main" id="{A47E7A1D-C332-4894-A44B-85F2EE708ECC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2773" name="Text Box 739">
          <a:extLst>
            <a:ext uri="{FF2B5EF4-FFF2-40B4-BE49-F238E27FC236}">
              <a16:creationId xmlns:a16="http://schemas.microsoft.com/office/drawing/2014/main" id="{19C36FF4-6C2A-4891-8DF7-1D83188E3DF6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2774" name="Text Box 740">
          <a:extLst>
            <a:ext uri="{FF2B5EF4-FFF2-40B4-BE49-F238E27FC236}">
              <a16:creationId xmlns:a16="http://schemas.microsoft.com/office/drawing/2014/main" id="{57C95B74-3281-4597-BCCC-EA491B85B60D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2775" name="Text Box 741">
          <a:extLst>
            <a:ext uri="{FF2B5EF4-FFF2-40B4-BE49-F238E27FC236}">
              <a16:creationId xmlns:a16="http://schemas.microsoft.com/office/drawing/2014/main" id="{D7D3D2A9-F8D1-4510-9B66-9BC1C7AC2A6D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2776" name="Text Box 742">
          <a:extLst>
            <a:ext uri="{FF2B5EF4-FFF2-40B4-BE49-F238E27FC236}">
              <a16:creationId xmlns:a16="http://schemas.microsoft.com/office/drawing/2014/main" id="{DABC86B2-33AE-4C6E-8AA3-22C7E477F72B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2777" name="Text Box 743">
          <a:extLst>
            <a:ext uri="{FF2B5EF4-FFF2-40B4-BE49-F238E27FC236}">
              <a16:creationId xmlns:a16="http://schemas.microsoft.com/office/drawing/2014/main" id="{89F4E640-87FB-4136-A726-97E54130FEC4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2778" name="Text Box 744">
          <a:extLst>
            <a:ext uri="{FF2B5EF4-FFF2-40B4-BE49-F238E27FC236}">
              <a16:creationId xmlns:a16="http://schemas.microsoft.com/office/drawing/2014/main" id="{C9E7DAD7-0E15-49F9-AD6B-C4A945C5A7B9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2779" name="Text Box 745">
          <a:extLst>
            <a:ext uri="{FF2B5EF4-FFF2-40B4-BE49-F238E27FC236}">
              <a16:creationId xmlns:a16="http://schemas.microsoft.com/office/drawing/2014/main" id="{1A658F1A-0A85-4259-8953-816C5A75BB48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2780" name="Text Box 746">
          <a:extLst>
            <a:ext uri="{FF2B5EF4-FFF2-40B4-BE49-F238E27FC236}">
              <a16:creationId xmlns:a16="http://schemas.microsoft.com/office/drawing/2014/main" id="{348EF0D7-300B-4DB4-AE0E-664D903B410C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2781" name="Text Box 747">
          <a:extLst>
            <a:ext uri="{FF2B5EF4-FFF2-40B4-BE49-F238E27FC236}">
              <a16:creationId xmlns:a16="http://schemas.microsoft.com/office/drawing/2014/main" id="{5D5A3657-2907-48A8-8D69-A2A5F0403A52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2782" name="Text Box 748">
          <a:extLst>
            <a:ext uri="{FF2B5EF4-FFF2-40B4-BE49-F238E27FC236}">
              <a16:creationId xmlns:a16="http://schemas.microsoft.com/office/drawing/2014/main" id="{444B5162-924D-4551-9962-D4C75D9E637A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2783" name="Text Box 749">
          <a:extLst>
            <a:ext uri="{FF2B5EF4-FFF2-40B4-BE49-F238E27FC236}">
              <a16:creationId xmlns:a16="http://schemas.microsoft.com/office/drawing/2014/main" id="{B341CC46-EC9A-4B39-B2BF-926302F8462F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2784" name="Text Box 750">
          <a:extLst>
            <a:ext uri="{FF2B5EF4-FFF2-40B4-BE49-F238E27FC236}">
              <a16:creationId xmlns:a16="http://schemas.microsoft.com/office/drawing/2014/main" id="{54E4FCCF-1C5D-4E24-916A-721C28617497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2785" name="Text Box 751">
          <a:extLst>
            <a:ext uri="{FF2B5EF4-FFF2-40B4-BE49-F238E27FC236}">
              <a16:creationId xmlns:a16="http://schemas.microsoft.com/office/drawing/2014/main" id="{ABAE8B70-350B-492F-86DB-CA11D4700E2C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2786" name="Text Box 752">
          <a:extLst>
            <a:ext uri="{FF2B5EF4-FFF2-40B4-BE49-F238E27FC236}">
              <a16:creationId xmlns:a16="http://schemas.microsoft.com/office/drawing/2014/main" id="{3718A521-8D40-403A-AED8-F3E499FB995F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2787" name="Text Box 753">
          <a:extLst>
            <a:ext uri="{FF2B5EF4-FFF2-40B4-BE49-F238E27FC236}">
              <a16:creationId xmlns:a16="http://schemas.microsoft.com/office/drawing/2014/main" id="{DAE6F487-420E-4EFE-9EFE-9A531E8EB66D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2788" name="Text Box 754">
          <a:extLst>
            <a:ext uri="{FF2B5EF4-FFF2-40B4-BE49-F238E27FC236}">
              <a16:creationId xmlns:a16="http://schemas.microsoft.com/office/drawing/2014/main" id="{FD0E9B5F-91F7-4839-9BE0-9C8E4FD0378A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2789" name="Text Box 755">
          <a:extLst>
            <a:ext uri="{FF2B5EF4-FFF2-40B4-BE49-F238E27FC236}">
              <a16:creationId xmlns:a16="http://schemas.microsoft.com/office/drawing/2014/main" id="{083EB91C-37DB-40D7-9036-148EA9BBC112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2790" name="Text Box 756">
          <a:extLst>
            <a:ext uri="{FF2B5EF4-FFF2-40B4-BE49-F238E27FC236}">
              <a16:creationId xmlns:a16="http://schemas.microsoft.com/office/drawing/2014/main" id="{FD89CC40-5A57-4A13-867A-221E995CA53B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2791" name="Text Box 757">
          <a:extLst>
            <a:ext uri="{FF2B5EF4-FFF2-40B4-BE49-F238E27FC236}">
              <a16:creationId xmlns:a16="http://schemas.microsoft.com/office/drawing/2014/main" id="{7C17F1F8-D330-4B02-A628-D36A30B49970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2792" name="Text Box 758">
          <a:extLst>
            <a:ext uri="{FF2B5EF4-FFF2-40B4-BE49-F238E27FC236}">
              <a16:creationId xmlns:a16="http://schemas.microsoft.com/office/drawing/2014/main" id="{6DE3169C-11E7-4317-85C0-2A89D434A956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2793" name="Text Box 759">
          <a:extLst>
            <a:ext uri="{FF2B5EF4-FFF2-40B4-BE49-F238E27FC236}">
              <a16:creationId xmlns:a16="http://schemas.microsoft.com/office/drawing/2014/main" id="{B175D37E-D1A8-4E70-8410-0F27F4108677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2794" name="Text Box 760">
          <a:extLst>
            <a:ext uri="{FF2B5EF4-FFF2-40B4-BE49-F238E27FC236}">
              <a16:creationId xmlns:a16="http://schemas.microsoft.com/office/drawing/2014/main" id="{EDB35F07-4C23-40F4-A8D1-7384E67E49EC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2795" name="Text Box 761">
          <a:extLst>
            <a:ext uri="{FF2B5EF4-FFF2-40B4-BE49-F238E27FC236}">
              <a16:creationId xmlns:a16="http://schemas.microsoft.com/office/drawing/2014/main" id="{3B921D8B-E3E8-4E63-980C-304F11FEEE18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2796" name="Text Box 762">
          <a:extLst>
            <a:ext uri="{FF2B5EF4-FFF2-40B4-BE49-F238E27FC236}">
              <a16:creationId xmlns:a16="http://schemas.microsoft.com/office/drawing/2014/main" id="{912F5CCA-D303-424F-8D03-5F33EC732DCD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2797" name="Text Box 763">
          <a:extLst>
            <a:ext uri="{FF2B5EF4-FFF2-40B4-BE49-F238E27FC236}">
              <a16:creationId xmlns:a16="http://schemas.microsoft.com/office/drawing/2014/main" id="{0BF0F214-330C-4A7D-9765-33D2D87A12DD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2798" name="Text Box 764">
          <a:extLst>
            <a:ext uri="{FF2B5EF4-FFF2-40B4-BE49-F238E27FC236}">
              <a16:creationId xmlns:a16="http://schemas.microsoft.com/office/drawing/2014/main" id="{DA8E1DFB-2CF8-4C1E-98C6-7EB2552DB632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2799" name="Text Box 765">
          <a:extLst>
            <a:ext uri="{FF2B5EF4-FFF2-40B4-BE49-F238E27FC236}">
              <a16:creationId xmlns:a16="http://schemas.microsoft.com/office/drawing/2014/main" id="{14657794-BB46-4099-A371-1EBEAA91554C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2800" name="Text Box 766">
          <a:extLst>
            <a:ext uri="{FF2B5EF4-FFF2-40B4-BE49-F238E27FC236}">
              <a16:creationId xmlns:a16="http://schemas.microsoft.com/office/drawing/2014/main" id="{79EB50C8-FD7C-49B5-BD54-4B03E632BA70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2801" name="Text Box 767">
          <a:extLst>
            <a:ext uri="{FF2B5EF4-FFF2-40B4-BE49-F238E27FC236}">
              <a16:creationId xmlns:a16="http://schemas.microsoft.com/office/drawing/2014/main" id="{0BEC92CA-B579-42BC-9E5B-7ECB17A37842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2802" name="Text Box 768">
          <a:extLst>
            <a:ext uri="{FF2B5EF4-FFF2-40B4-BE49-F238E27FC236}">
              <a16:creationId xmlns:a16="http://schemas.microsoft.com/office/drawing/2014/main" id="{C1BFB52C-3EAE-4C15-AA91-BDD66EFD442B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2803" name="Text Box 769">
          <a:extLst>
            <a:ext uri="{FF2B5EF4-FFF2-40B4-BE49-F238E27FC236}">
              <a16:creationId xmlns:a16="http://schemas.microsoft.com/office/drawing/2014/main" id="{58BD5ED0-448C-4D08-A7A8-7E648CEB36DA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2804" name="Text Box 770">
          <a:extLst>
            <a:ext uri="{FF2B5EF4-FFF2-40B4-BE49-F238E27FC236}">
              <a16:creationId xmlns:a16="http://schemas.microsoft.com/office/drawing/2014/main" id="{4568389F-05FE-437F-8F43-36593654B24A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2805" name="Text Box 771">
          <a:extLst>
            <a:ext uri="{FF2B5EF4-FFF2-40B4-BE49-F238E27FC236}">
              <a16:creationId xmlns:a16="http://schemas.microsoft.com/office/drawing/2014/main" id="{0483A025-1C38-451C-A033-1EB8925645E9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2806" name="Text Box 772">
          <a:extLst>
            <a:ext uri="{FF2B5EF4-FFF2-40B4-BE49-F238E27FC236}">
              <a16:creationId xmlns:a16="http://schemas.microsoft.com/office/drawing/2014/main" id="{9EC364C6-6B64-444B-BE01-713ECBC09EE1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2807" name="Text Box 773">
          <a:extLst>
            <a:ext uri="{FF2B5EF4-FFF2-40B4-BE49-F238E27FC236}">
              <a16:creationId xmlns:a16="http://schemas.microsoft.com/office/drawing/2014/main" id="{E57A5A34-D22F-4EFF-9068-3E4A2FD7EBF9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2808" name="Text Box 774">
          <a:extLst>
            <a:ext uri="{FF2B5EF4-FFF2-40B4-BE49-F238E27FC236}">
              <a16:creationId xmlns:a16="http://schemas.microsoft.com/office/drawing/2014/main" id="{C1201D58-0B5F-4F1F-B570-749EF8614370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2809" name="Text Box 775">
          <a:extLst>
            <a:ext uri="{FF2B5EF4-FFF2-40B4-BE49-F238E27FC236}">
              <a16:creationId xmlns:a16="http://schemas.microsoft.com/office/drawing/2014/main" id="{14BBA9A5-24E4-4816-9595-02EFB59C5E90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2810" name="Text Box 776">
          <a:extLst>
            <a:ext uri="{FF2B5EF4-FFF2-40B4-BE49-F238E27FC236}">
              <a16:creationId xmlns:a16="http://schemas.microsoft.com/office/drawing/2014/main" id="{F4AA17BA-1832-4D95-B3C1-9A4778D7545D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40</xdr:col>
      <xdr:colOff>0</xdr:colOff>
      <xdr:row>133</xdr:row>
      <xdr:rowOff>0</xdr:rowOff>
    </xdr:from>
    <xdr:to>
      <xdr:col>41</xdr:col>
      <xdr:colOff>323850</xdr:colOff>
      <xdr:row>134</xdr:row>
      <xdr:rowOff>0</xdr:rowOff>
    </xdr:to>
    <xdr:sp macro="" textlink="">
      <xdr:nvSpPr>
        <xdr:cNvPr id="2811" name="Text Box 777">
          <a:extLst>
            <a:ext uri="{FF2B5EF4-FFF2-40B4-BE49-F238E27FC236}">
              <a16:creationId xmlns:a16="http://schemas.microsoft.com/office/drawing/2014/main" id="{C638A3CE-A7F4-4817-87D3-E6860FA01E5A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2812" name="Text Box 693">
          <a:extLst>
            <a:ext uri="{FF2B5EF4-FFF2-40B4-BE49-F238E27FC236}">
              <a16:creationId xmlns:a16="http://schemas.microsoft.com/office/drawing/2014/main" id="{3DB48F60-AAAF-44DD-B968-C9D0A8D9321B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2813" name="Text Box 694">
          <a:extLst>
            <a:ext uri="{FF2B5EF4-FFF2-40B4-BE49-F238E27FC236}">
              <a16:creationId xmlns:a16="http://schemas.microsoft.com/office/drawing/2014/main" id="{E79E8D2B-1869-4644-B9F0-30C6B72ABFF4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2814" name="Text Box 695">
          <a:extLst>
            <a:ext uri="{FF2B5EF4-FFF2-40B4-BE49-F238E27FC236}">
              <a16:creationId xmlns:a16="http://schemas.microsoft.com/office/drawing/2014/main" id="{0983022F-7244-4863-922A-F6D95B7CBDFA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2815" name="Text Box 696">
          <a:extLst>
            <a:ext uri="{FF2B5EF4-FFF2-40B4-BE49-F238E27FC236}">
              <a16:creationId xmlns:a16="http://schemas.microsoft.com/office/drawing/2014/main" id="{4448FEEE-4A1A-4A26-9912-689384810244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2816" name="Text Box 697">
          <a:extLst>
            <a:ext uri="{FF2B5EF4-FFF2-40B4-BE49-F238E27FC236}">
              <a16:creationId xmlns:a16="http://schemas.microsoft.com/office/drawing/2014/main" id="{F0B700A9-1168-4A98-88EB-D0F70D574F36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2817" name="Text Box 698">
          <a:extLst>
            <a:ext uri="{FF2B5EF4-FFF2-40B4-BE49-F238E27FC236}">
              <a16:creationId xmlns:a16="http://schemas.microsoft.com/office/drawing/2014/main" id="{981EDF8D-3DF8-42BF-B54D-3728FDF26BCE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2818" name="Text Box 699">
          <a:extLst>
            <a:ext uri="{FF2B5EF4-FFF2-40B4-BE49-F238E27FC236}">
              <a16:creationId xmlns:a16="http://schemas.microsoft.com/office/drawing/2014/main" id="{3F597897-3559-434F-8A18-0128AF8401CD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2819" name="Text Box 700">
          <a:extLst>
            <a:ext uri="{FF2B5EF4-FFF2-40B4-BE49-F238E27FC236}">
              <a16:creationId xmlns:a16="http://schemas.microsoft.com/office/drawing/2014/main" id="{747B9A02-2718-48EA-A836-DE657A922D7E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2820" name="Text Box 701">
          <a:extLst>
            <a:ext uri="{FF2B5EF4-FFF2-40B4-BE49-F238E27FC236}">
              <a16:creationId xmlns:a16="http://schemas.microsoft.com/office/drawing/2014/main" id="{38C6326A-1D6A-4C1E-AA01-633DF798808A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2821" name="Text Box 702">
          <a:extLst>
            <a:ext uri="{FF2B5EF4-FFF2-40B4-BE49-F238E27FC236}">
              <a16:creationId xmlns:a16="http://schemas.microsoft.com/office/drawing/2014/main" id="{1FF7035C-BA13-4A5C-B760-E80962208E56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2822" name="Text Box 703">
          <a:extLst>
            <a:ext uri="{FF2B5EF4-FFF2-40B4-BE49-F238E27FC236}">
              <a16:creationId xmlns:a16="http://schemas.microsoft.com/office/drawing/2014/main" id="{BDC5C624-53AA-46EA-BBB4-872774A5B256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2823" name="Text Box 704">
          <a:extLst>
            <a:ext uri="{FF2B5EF4-FFF2-40B4-BE49-F238E27FC236}">
              <a16:creationId xmlns:a16="http://schemas.microsoft.com/office/drawing/2014/main" id="{EF81816A-9055-46FF-B068-F121D3E232EE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2824" name="Text Box 705">
          <a:extLst>
            <a:ext uri="{FF2B5EF4-FFF2-40B4-BE49-F238E27FC236}">
              <a16:creationId xmlns:a16="http://schemas.microsoft.com/office/drawing/2014/main" id="{606C8684-0B8F-40D7-A3EE-9B718FB799E6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2825" name="Text Box 706">
          <a:extLst>
            <a:ext uri="{FF2B5EF4-FFF2-40B4-BE49-F238E27FC236}">
              <a16:creationId xmlns:a16="http://schemas.microsoft.com/office/drawing/2014/main" id="{DC1BCBB5-A1D5-4222-A616-4B8130A926E7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2826" name="Text Box 707">
          <a:extLst>
            <a:ext uri="{FF2B5EF4-FFF2-40B4-BE49-F238E27FC236}">
              <a16:creationId xmlns:a16="http://schemas.microsoft.com/office/drawing/2014/main" id="{19185643-0E1D-4427-964E-BB19D62076E1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2827" name="Text Box 708">
          <a:extLst>
            <a:ext uri="{FF2B5EF4-FFF2-40B4-BE49-F238E27FC236}">
              <a16:creationId xmlns:a16="http://schemas.microsoft.com/office/drawing/2014/main" id="{E5AF30A1-0983-4658-A76C-567721584246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2828" name="Text Box 709">
          <a:extLst>
            <a:ext uri="{FF2B5EF4-FFF2-40B4-BE49-F238E27FC236}">
              <a16:creationId xmlns:a16="http://schemas.microsoft.com/office/drawing/2014/main" id="{3DD9B55A-F059-4C1B-90A7-1298A5AAE995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2829" name="Text Box 710">
          <a:extLst>
            <a:ext uri="{FF2B5EF4-FFF2-40B4-BE49-F238E27FC236}">
              <a16:creationId xmlns:a16="http://schemas.microsoft.com/office/drawing/2014/main" id="{315100DE-34FE-4D1A-BCB5-EA9D6AEC347E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2830" name="Text Box 711">
          <a:extLst>
            <a:ext uri="{FF2B5EF4-FFF2-40B4-BE49-F238E27FC236}">
              <a16:creationId xmlns:a16="http://schemas.microsoft.com/office/drawing/2014/main" id="{0B23F19F-78D4-4AA0-8397-93083095CCC3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2831" name="Text Box 712">
          <a:extLst>
            <a:ext uri="{FF2B5EF4-FFF2-40B4-BE49-F238E27FC236}">
              <a16:creationId xmlns:a16="http://schemas.microsoft.com/office/drawing/2014/main" id="{7343FC63-34D0-4DE7-8BB5-39C34600858D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2832" name="Text Box 713">
          <a:extLst>
            <a:ext uri="{FF2B5EF4-FFF2-40B4-BE49-F238E27FC236}">
              <a16:creationId xmlns:a16="http://schemas.microsoft.com/office/drawing/2014/main" id="{8A7C9925-EDBE-4D14-BF91-6E41D6352308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2833" name="Text Box 714">
          <a:extLst>
            <a:ext uri="{FF2B5EF4-FFF2-40B4-BE49-F238E27FC236}">
              <a16:creationId xmlns:a16="http://schemas.microsoft.com/office/drawing/2014/main" id="{ECEACEC9-9C21-470F-A8C9-18FCF91F5C0C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2834" name="Text Box 715">
          <a:extLst>
            <a:ext uri="{FF2B5EF4-FFF2-40B4-BE49-F238E27FC236}">
              <a16:creationId xmlns:a16="http://schemas.microsoft.com/office/drawing/2014/main" id="{FD7518C8-C66A-4598-BE2B-62BFBF4EB21D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2835" name="Text Box 716">
          <a:extLst>
            <a:ext uri="{FF2B5EF4-FFF2-40B4-BE49-F238E27FC236}">
              <a16:creationId xmlns:a16="http://schemas.microsoft.com/office/drawing/2014/main" id="{331B60BA-C13D-4B1D-847B-7BC986A30683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2836" name="Text Box 717">
          <a:extLst>
            <a:ext uri="{FF2B5EF4-FFF2-40B4-BE49-F238E27FC236}">
              <a16:creationId xmlns:a16="http://schemas.microsoft.com/office/drawing/2014/main" id="{82F16C03-4ECF-4AA2-9F0F-5E5BC7059B69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2837" name="Text Box 718">
          <a:extLst>
            <a:ext uri="{FF2B5EF4-FFF2-40B4-BE49-F238E27FC236}">
              <a16:creationId xmlns:a16="http://schemas.microsoft.com/office/drawing/2014/main" id="{A316BBE6-4B33-4DF4-96DE-9252AD06ED1B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2838" name="Text Box 719">
          <a:extLst>
            <a:ext uri="{FF2B5EF4-FFF2-40B4-BE49-F238E27FC236}">
              <a16:creationId xmlns:a16="http://schemas.microsoft.com/office/drawing/2014/main" id="{CEC59B1F-4A4B-4DC9-8437-275E0A704BB7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2839" name="Text Box 720">
          <a:extLst>
            <a:ext uri="{FF2B5EF4-FFF2-40B4-BE49-F238E27FC236}">
              <a16:creationId xmlns:a16="http://schemas.microsoft.com/office/drawing/2014/main" id="{02BC3E8A-5892-4A1F-9688-9B7BD794AAB1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2840" name="Text Box 721">
          <a:extLst>
            <a:ext uri="{FF2B5EF4-FFF2-40B4-BE49-F238E27FC236}">
              <a16:creationId xmlns:a16="http://schemas.microsoft.com/office/drawing/2014/main" id="{3A1536B1-D361-4E39-A8E5-D4A26B8E64B6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2841" name="Text Box 722">
          <a:extLst>
            <a:ext uri="{FF2B5EF4-FFF2-40B4-BE49-F238E27FC236}">
              <a16:creationId xmlns:a16="http://schemas.microsoft.com/office/drawing/2014/main" id="{69443F7B-C59D-46C9-A8F4-C29EACB0C29F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2842" name="Text Box 723">
          <a:extLst>
            <a:ext uri="{FF2B5EF4-FFF2-40B4-BE49-F238E27FC236}">
              <a16:creationId xmlns:a16="http://schemas.microsoft.com/office/drawing/2014/main" id="{5A3467D1-94CC-4A18-AD86-BF00FAF50513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2843" name="Text Box 724">
          <a:extLst>
            <a:ext uri="{FF2B5EF4-FFF2-40B4-BE49-F238E27FC236}">
              <a16:creationId xmlns:a16="http://schemas.microsoft.com/office/drawing/2014/main" id="{E23E264A-FD5C-41FC-ADC4-42713EFFF69C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2844" name="Text Box 725">
          <a:extLst>
            <a:ext uri="{FF2B5EF4-FFF2-40B4-BE49-F238E27FC236}">
              <a16:creationId xmlns:a16="http://schemas.microsoft.com/office/drawing/2014/main" id="{BE28836B-6549-41D2-9D5C-C78A7FFE9179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2845" name="Text Box 726">
          <a:extLst>
            <a:ext uri="{FF2B5EF4-FFF2-40B4-BE49-F238E27FC236}">
              <a16:creationId xmlns:a16="http://schemas.microsoft.com/office/drawing/2014/main" id="{88ECF591-700B-4E8F-B494-2E13C5A9C8C6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2846" name="Text Box 727">
          <a:extLst>
            <a:ext uri="{FF2B5EF4-FFF2-40B4-BE49-F238E27FC236}">
              <a16:creationId xmlns:a16="http://schemas.microsoft.com/office/drawing/2014/main" id="{3861073D-68FF-4774-90B0-4B52C306AD98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2847" name="Text Box 728">
          <a:extLst>
            <a:ext uri="{FF2B5EF4-FFF2-40B4-BE49-F238E27FC236}">
              <a16:creationId xmlns:a16="http://schemas.microsoft.com/office/drawing/2014/main" id="{C42B5BB0-127D-4E7C-9634-257AEB74A070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2848" name="Text Box 729">
          <a:extLst>
            <a:ext uri="{FF2B5EF4-FFF2-40B4-BE49-F238E27FC236}">
              <a16:creationId xmlns:a16="http://schemas.microsoft.com/office/drawing/2014/main" id="{47020F40-081B-4EDD-B164-2EBB7208E8F7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2849" name="Text Box 730">
          <a:extLst>
            <a:ext uri="{FF2B5EF4-FFF2-40B4-BE49-F238E27FC236}">
              <a16:creationId xmlns:a16="http://schemas.microsoft.com/office/drawing/2014/main" id="{FBBA25AC-1D2A-4EE3-8A72-7E55D21A16E2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2850" name="Text Box 731">
          <a:extLst>
            <a:ext uri="{FF2B5EF4-FFF2-40B4-BE49-F238E27FC236}">
              <a16:creationId xmlns:a16="http://schemas.microsoft.com/office/drawing/2014/main" id="{59BD3FDB-68AE-4F73-B4C7-65C0E3C9584B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2851" name="Text Box 732">
          <a:extLst>
            <a:ext uri="{FF2B5EF4-FFF2-40B4-BE49-F238E27FC236}">
              <a16:creationId xmlns:a16="http://schemas.microsoft.com/office/drawing/2014/main" id="{AD99558C-B8A2-4D7F-AE21-E27FA7AD8AAE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2852" name="Text Box 733">
          <a:extLst>
            <a:ext uri="{FF2B5EF4-FFF2-40B4-BE49-F238E27FC236}">
              <a16:creationId xmlns:a16="http://schemas.microsoft.com/office/drawing/2014/main" id="{DAC4F23C-5113-4F1B-AB38-2E56E8A090BC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2853" name="Text Box 734">
          <a:extLst>
            <a:ext uri="{FF2B5EF4-FFF2-40B4-BE49-F238E27FC236}">
              <a16:creationId xmlns:a16="http://schemas.microsoft.com/office/drawing/2014/main" id="{68757015-8B62-428C-8385-D2EF058B1212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2854" name="Text Box 735">
          <a:extLst>
            <a:ext uri="{FF2B5EF4-FFF2-40B4-BE49-F238E27FC236}">
              <a16:creationId xmlns:a16="http://schemas.microsoft.com/office/drawing/2014/main" id="{73E57150-E935-48A8-8F93-7E41B84F100D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2855" name="Text Box 736">
          <a:extLst>
            <a:ext uri="{FF2B5EF4-FFF2-40B4-BE49-F238E27FC236}">
              <a16:creationId xmlns:a16="http://schemas.microsoft.com/office/drawing/2014/main" id="{7154B94C-5B5C-47C0-AFD7-71A06082D052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2856" name="Text Box 737">
          <a:extLst>
            <a:ext uri="{FF2B5EF4-FFF2-40B4-BE49-F238E27FC236}">
              <a16:creationId xmlns:a16="http://schemas.microsoft.com/office/drawing/2014/main" id="{C94DEBAF-A6C4-4818-BBDF-4CEB3BFA1B72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2857" name="Text Box 738">
          <a:extLst>
            <a:ext uri="{FF2B5EF4-FFF2-40B4-BE49-F238E27FC236}">
              <a16:creationId xmlns:a16="http://schemas.microsoft.com/office/drawing/2014/main" id="{938B2A3B-24EA-4967-85CB-38B2208CC1F1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2858" name="Text Box 739">
          <a:extLst>
            <a:ext uri="{FF2B5EF4-FFF2-40B4-BE49-F238E27FC236}">
              <a16:creationId xmlns:a16="http://schemas.microsoft.com/office/drawing/2014/main" id="{70EEBF56-3863-47DF-BDA3-A76DEDB139A2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2859" name="Text Box 740">
          <a:extLst>
            <a:ext uri="{FF2B5EF4-FFF2-40B4-BE49-F238E27FC236}">
              <a16:creationId xmlns:a16="http://schemas.microsoft.com/office/drawing/2014/main" id="{3F8B4478-A88C-4AB8-AF1E-0B1E4C49E9DF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2860" name="Text Box 741">
          <a:extLst>
            <a:ext uri="{FF2B5EF4-FFF2-40B4-BE49-F238E27FC236}">
              <a16:creationId xmlns:a16="http://schemas.microsoft.com/office/drawing/2014/main" id="{A3931B86-9CF8-416F-B31D-002B54D4F599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2861" name="Text Box 742">
          <a:extLst>
            <a:ext uri="{FF2B5EF4-FFF2-40B4-BE49-F238E27FC236}">
              <a16:creationId xmlns:a16="http://schemas.microsoft.com/office/drawing/2014/main" id="{A6A1CE2B-9609-496C-B96D-CFA0D01681D9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2862" name="Text Box 743">
          <a:extLst>
            <a:ext uri="{FF2B5EF4-FFF2-40B4-BE49-F238E27FC236}">
              <a16:creationId xmlns:a16="http://schemas.microsoft.com/office/drawing/2014/main" id="{468DDB9F-FD97-4FE9-BCD5-F5D84563C0E3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2863" name="Text Box 744">
          <a:extLst>
            <a:ext uri="{FF2B5EF4-FFF2-40B4-BE49-F238E27FC236}">
              <a16:creationId xmlns:a16="http://schemas.microsoft.com/office/drawing/2014/main" id="{087CA7A6-166C-461E-92F2-6D197F942F20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2864" name="Text Box 745">
          <a:extLst>
            <a:ext uri="{FF2B5EF4-FFF2-40B4-BE49-F238E27FC236}">
              <a16:creationId xmlns:a16="http://schemas.microsoft.com/office/drawing/2014/main" id="{F30E95CF-C556-48E8-BEF4-73DD2A5B7774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2865" name="Text Box 746">
          <a:extLst>
            <a:ext uri="{FF2B5EF4-FFF2-40B4-BE49-F238E27FC236}">
              <a16:creationId xmlns:a16="http://schemas.microsoft.com/office/drawing/2014/main" id="{7DE301A6-84BA-42F7-8AE4-5DBC2C8C0279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2866" name="Text Box 747">
          <a:extLst>
            <a:ext uri="{FF2B5EF4-FFF2-40B4-BE49-F238E27FC236}">
              <a16:creationId xmlns:a16="http://schemas.microsoft.com/office/drawing/2014/main" id="{4FF0A18C-93F1-4E04-BE01-5B0EF4BEE524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2867" name="Text Box 748">
          <a:extLst>
            <a:ext uri="{FF2B5EF4-FFF2-40B4-BE49-F238E27FC236}">
              <a16:creationId xmlns:a16="http://schemas.microsoft.com/office/drawing/2014/main" id="{C0781766-D696-4350-B0F2-57A4F5AABA21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2868" name="Text Box 749">
          <a:extLst>
            <a:ext uri="{FF2B5EF4-FFF2-40B4-BE49-F238E27FC236}">
              <a16:creationId xmlns:a16="http://schemas.microsoft.com/office/drawing/2014/main" id="{B0AA436A-AF95-4CA7-9E42-415DB020A338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2869" name="Text Box 750">
          <a:extLst>
            <a:ext uri="{FF2B5EF4-FFF2-40B4-BE49-F238E27FC236}">
              <a16:creationId xmlns:a16="http://schemas.microsoft.com/office/drawing/2014/main" id="{27FF0AF2-FECF-4000-810F-BA3EA5DEE3BA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2870" name="Text Box 751">
          <a:extLst>
            <a:ext uri="{FF2B5EF4-FFF2-40B4-BE49-F238E27FC236}">
              <a16:creationId xmlns:a16="http://schemas.microsoft.com/office/drawing/2014/main" id="{B2FFDA3D-F72C-482C-824C-15152EF709A5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2871" name="Text Box 752">
          <a:extLst>
            <a:ext uri="{FF2B5EF4-FFF2-40B4-BE49-F238E27FC236}">
              <a16:creationId xmlns:a16="http://schemas.microsoft.com/office/drawing/2014/main" id="{0A764321-A7D5-4772-8D37-DFA7C839D2A5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2872" name="Text Box 753">
          <a:extLst>
            <a:ext uri="{FF2B5EF4-FFF2-40B4-BE49-F238E27FC236}">
              <a16:creationId xmlns:a16="http://schemas.microsoft.com/office/drawing/2014/main" id="{76CCDD2B-4C52-414A-966A-86D2D9DC1AF4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2873" name="Text Box 754">
          <a:extLst>
            <a:ext uri="{FF2B5EF4-FFF2-40B4-BE49-F238E27FC236}">
              <a16:creationId xmlns:a16="http://schemas.microsoft.com/office/drawing/2014/main" id="{778C4E7C-2EB2-436B-87E5-B900BF5DDB01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2874" name="Text Box 755">
          <a:extLst>
            <a:ext uri="{FF2B5EF4-FFF2-40B4-BE49-F238E27FC236}">
              <a16:creationId xmlns:a16="http://schemas.microsoft.com/office/drawing/2014/main" id="{5B208A40-9088-4575-B0EC-AF9133DB6D5B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2875" name="Text Box 756">
          <a:extLst>
            <a:ext uri="{FF2B5EF4-FFF2-40B4-BE49-F238E27FC236}">
              <a16:creationId xmlns:a16="http://schemas.microsoft.com/office/drawing/2014/main" id="{53257A47-5D66-4685-9732-8D751DAAA5A3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2876" name="Text Box 757">
          <a:extLst>
            <a:ext uri="{FF2B5EF4-FFF2-40B4-BE49-F238E27FC236}">
              <a16:creationId xmlns:a16="http://schemas.microsoft.com/office/drawing/2014/main" id="{D958A566-5428-4169-ABAD-007A70E48348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2877" name="Text Box 758">
          <a:extLst>
            <a:ext uri="{FF2B5EF4-FFF2-40B4-BE49-F238E27FC236}">
              <a16:creationId xmlns:a16="http://schemas.microsoft.com/office/drawing/2014/main" id="{EAB3D558-3CF8-4D2E-B7D5-41B111C1761F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2878" name="Text Box 759">
          <a:extLst>
            <a:ext uri="{FF2B5EF4-FFF2-40B4-BE49-F238E27FC236}">
              <a16:creationId xmlns:a16="http://schemas.microsoft.com/office/drawing/2014/main" id="{4561A635-D74E-429E-850C-7833F874C983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2879" name="Text Box 760">
          <a:extLst>
            <a:ext uri="{FF2B5EF4-FFF2-40B4-BE49-F238E27FC236}">
              <a16:creationId xmlns:a16="http://schemas.microsoft.com/office/drawing/2014/main" id="{5868CB27-1254-495D-B487-8FD0081F4AD2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2880" name="Text Box 761">
          <a:extLst>
            <a:ext uri="{FF2B5EF4-FFF2-40B4-BE49-F238E27FC236}">
              <a16:creationId xmlns:a16="http://schemas.microsoft.com/office/drawing/2014/main" id="{5AAC4952-2A51-40C1-9615-DA2D3B61AB86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2881" name="Text Box 762">
          <a:extLst>
            <a:ext uri="{FF2B5EF4-FFF2-40B4-BE49-F238E27FC236}">
              <a16:creationId xmlns:a16="http://schemas.microsoft.com/office/drawing/2014/main" id="{E56B3DDB-70E3-4F35-8119-12E7547FAFA2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2882" name="Text Box 763">
          <a:extLst>
            <a:ext uri="{FF2B5EF4-FFF2-40B4-BE49-F238E27FC236}">
              <a16:creationId xmlns:a16="http://schemas.microsoft.com/office/drawing/2014/main" id="{4408EEE6-3B16-400A-8434-E8C0CF322B5B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2883" name="Text Box 764">
          <a:extLst>
            <a:ext uri="{FF2B5EF4-FFF2-40B4-BE49-F238E27FC236}">
              <a16:creationId xmlns:a16="http://schemas.microsoft.com/office/drawing/2014/main" id="{2898F3B9-3C6B-4482-B9C0-9DDEC0A5B011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2884" name="Text Box 765">
          <a:extLst>
            <a:ext uri="{FF2B5EF4-FFF2-40B4-BE49-F238E27FC236}">
              <a16:creationId xmlns:a16="http://schemas.microsoft.com/office/drawing/2014/main" id="{159E46B2-77D1-453D-882D-D02A002100E6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2885" name="Text Box 766">
          <a:extLst>
            <a:ext uri="{FF2B5EF4-FFF2-40B4-BE49-F238E27FC236}">
              <a16:creationId xmlns:a16="http://schemas.microsoft.com/office/drawing/2014/main" id="{C847865C-81CA-44F5-BFE4-E7960B58270D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2886" name="Text Box 767">
          <a:extLst>
            <a:ext uri="{FF2B5EF4-FFF2-40B4-BE49-F238E27FC236}">
              <a16:creationId xmlns:a16="http://schemas.microsoft.com/office/drawing/2014/main" id="{7D4BEC19-FD0D-42C9-9173-72D0666F3D36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2887" name="Text Box 768">
          <a:extLst>
            <a:ext uri="{FF2B5EF4-FFF2-40B4-BE49-F238E27FC236}">
              <a16:creationId xmlns:a16="http://schemas.microsoft.com/office/drawing/2014/main" id="{7306193B-3C94-4FC5-97BE-BA6EDF65F3C0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2888" name="Text Box 769">
          <a:extLst>
            <a:ext uri="{FF2B5EF4-FFF2-40B4-BE49-F238E27FC236}">
              <a16:creationId xmlns:a16="http://schemas.microsoft.com/office/drawing/2014/main" id="{A702FEAD-9E6B-4C73-B964-EC3A54458D87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2889" name="Text Box 770">
          <a:extLst>
            <a:ext uri="{FF2B5EF4-FFF2-40B4-BE49-F238E27FC236}">
              <a16:creationId xmlns:a16="http://schemas.microsoft.com/office/drawing/2014/main" id="{C55DED33-2CC7-4208-8040-A28B41C5B2DE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2890" name="Text Box 771">
          <a:extLst>
            <a:ext uri="{FF2B5EF4-FFF2-40B4-BE49-F238E27FC236}">
              <a16:creationId xmlns:a16="http://schemas.microsoft.com/office/drawing/2014/main" id="{B53AB26D-F779-4BCB-A191-49E66F98B258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2891" name="Text Box 772">
          <a:extLst>
            <a:ext uri="{FF2B5EF4-FFF2-40B4-BE49-F238E27FC236}">
              <a16:creationId xmlns:a16="http://schemas.microsoft.com/office/drawing/2014/main" id="{0DD57C9E-0F9B-4FE7-BF6B-78FE587B0208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2892" name="Text Box 773">
          <a:extLst>
            <a:ext uri="{FF2B5EF4-FFF2-40B4-BE49-F238E27FC236}">
              <a16:creationId xmlns:a16="http://schemas.microsoft.com/office/drawing/2014/main" id="{60DD1C13-DA5A-4B6D-A367-F9616F877BA6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2893" name="Text Box 774">
          <a:extLst>
            <a:ext uri="{FF2B5EF4-FFF2-40B4-BE49-F238E27FC236}">
              <a16:creationId xmlns:a16="http://schemas.microsoft.com/office/drawing/2014/main" id="{67F17A5D-FA76-49FA-AC31-5F18B85CAA8E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2894" name="Text Box 775">
          <a:extLst>
            <a:ext uri="{FF2B5EF4-FFF2-40B4-BE49-F238E27FC236}">
              <a16:creationId xmlns:a16="http://schemas.microsoft.com/office/drawing/2014/main" id="{F24AC984-61F5-4724-98BA-F13005282365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2895" name="Text Box 776">
          <a:extLst>
            <a:ext uri="{FF2B5EF4-FFF2-40B4-BE49-F238E27FC236}">
              <a16:creationId xmlns:a16="http://schemas.microsoft.com/office/drawing/2014/main" id="{562B739A-2C7F-4165-A15A-1CB8B101B5BD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52</xdr:col>
      <xdr:colOff>0</xdr:colOff>
      <xdr:row>133</xdr:row>
      <xdr:rowOff>0</xdr:rowOff>
    </xdr:from>
    <xdr:to>
      <xdr:col>53</xdr:col>
      <xdr:colOff>323850</xdr:colOff>
      <xdr:row>134</xdr:row>
      <xdr:rowOff>0</xdr:rowOff>
    </xdr:to>
    <xdr:sp macro="" textlink="">
      <xdr:nvSpPr>
        <xdr:cNvPr id="2896" name="Text Box 777">
          <a:extLst>
            <a:ext uri="{FF2B5EF4-FFF2-40B4-BE49-F238E27FC236}">
              <a16:creationId xmlns:a16="http://schemas.microsoft.com/office/drawing/2014/main" id="{993FFE21-BC8C-4A14-96F7-72ECA016866B}"/>
            </a:ext>
          </a:extLst>
        </xdr:cNvPr>
        <xdr:cNvSpPr>
          <a:spLocks noChangeArrowheads="1"/>
        </xdr:cNvSpPr>
      </xdr:nvSpPr>
      <xdr:spPr bwMode="auto">
        <a:xfrm>
          <a:off x="10491107" y="33432750"/>
          <a:ext cx="1262743" cy="4354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</xdr:col>
      <xdr:colOff>163286</xdr:colOff>
      <xdr:row>5</xdr:row>
      <xdr:rowOff>424408</xdr:rowOff>
    </xdr:from>
    <xdr:to>
      <xdr:col>2</xdr:col>
      <xdr:colOff>1510393</xdr:colOff>
      <xdr:row>5</xdr:row>
      <xdr:rowOff>1145810</xdr:rowOff>
    </xdr:to>
    <xdr:pic>
      <xdr:nvPicPr>
        <xdr:cNvPr id="2900" name="Imagem 2899">
          <a:extLst>
            <a:ext uri="{FF2B5EF4-FFF2-40B4-BE49-F238E27FC236}">
              <a16:creationId xmlns:a16="http://schemas.microsoft.com/office/drawing/2014/main" id="{42B42222-6354-4AA6-ACEE-8E9F87432F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286" y="805408"/>
          <a:ext cx="2000250" cy="721402"/>
        </a:xfrm>
        <a:prstGeom prst="rect">
          <a:avLst/>
        </a:prstGeom>
      </xdr:spPr>
    </xdr:pic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897" name="Text Box 693">
          <a:extLst>
            <a:ext uri="{FF2B5EF4-FFF2-40B4-BE49-F238E27FC236}">
              <a16:creationId xmlns:a16="http://schemas.microsoft.com/office/drawing/2014/main" id="{22422319-862D-4507-ADBC-AC471C249DA6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898" name="Text Box 694">
          <a:extLst>
            <a:ext uri="{FF2B5EF4-FFF2-40B4-BE49-F238E27FC236}">
              <a16:creationId xmlns:a16="http://schemas.microsoft.com/office/drawing/2014/main" id="{AFF6F818-6F51-41FA-A413-536E04EBDE73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899" name="Text Box 695">
          <a:extLst>
            <a:ext uri="{FF2B5EF4-FFF2-40B4-BE49-F238E27FC236}">
              <a16:creationId xmlns:a16="http://schemas.microsoft.com/office/drawing/2014/main" id="{13D0CBA4-E46C-4E9F-97D8-F3E0C7C53E9A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01" name="Text Box 696">
          <a:extLst>
            <a:ext uri="{FF2B5EF4-FFF2-40B4-BE49-F238E27FC236}">
              <a16:creationId xmlns:a16="http://schemas.microsoft.com/office/drawing/2014/main" id="{5CB0D6D5-018C-48FA-A6FE-BD5D7C2FF486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02" name="Text Box 697">
          <a:extLst>
            <a:ext uri="{FF2B5EF4-FFF2-40B4-BE49-F238E27FC236}">
              <a16:creationId xmlns:a16="http://schemas.microsoft.com/office/drawing/2014/main" id="{3353BF35-29A0-42DA-80E6-1B5118953880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03" name="Text Box 698">
          <a:extLst>
            <a:ext uri="{FF2B5EF4-FFF2-40B4-BE49-F238E27FC236}">
              <a16:creationId xmlns:a16="http://schemas.microsoft.com/office/drawing/2014/main" id="{77FCC92D-053B-4415-9145-7F9B7E3E9E92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04" name="Text Box 699">
          <a:extLst>
            <a:ext uri="{FF2B5EF4-FFF2-40B4-BE49-F238E27FC236}">
              <a16:creationId xmlns:a16="http://schemas.microsoft.com/office/drawing/2014/main" id="{5BA09A45-673C-4970-81F6-4C10109ECA2D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05" name="Text Box 700">
          <a:extLst>
            <a:ext uri="{FF2B5EF4-FFF2-40B4-BE49-F238E27FC236}">
              <a16:creationId xmlns:a16="http://schemas.microsoft.com/office/drawing/2014/main" id="{7B33638F-1821-48F8-8DFD-A4C6B7C1BBEA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06" name="Text Box 701">
          <a:extLst>
            <a:ext uri="{FF2B5EF4-FFF2-40B4-BE49-F238E27FC236}">
              <a16:creationId xmlns:a16="http://schemas.microsoft.com/office/drawing/2014/main" id="{5C9C05A3-040B-41F7-A163-BBCF2B3BEEC0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07" name="Text Box 702">
          <a:extLst>
            <a:ext uri="{FF2B5EF4-FFF2-40B4-BE49-F238E27FC236}">
              <a16:creationId xmlns:a16="http://schemas.microsoft.com/office/drawing/2014/main" id="{E9FCC68C-B1F6-47A8-B78F-F0DFBB4B4384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08" name="Text Box 703">
          <a:extLst>
            <a:ext uri="{FF2B5EF4-FFF2-40B4-BE49-F238E27FC236}">
              <a16:creationId xmlns:a16="http://schemas.microsoft.com/office/drawing/2014/main" id="{E17EA51A-2936-42FC-B632-45C5C2969A1A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09" name="Text Box 704">
          <a:extLst>
            <a:ext uri="{FF2B5EF4-FFF2-40B4-BE49-F238E27FC236}">
              <a16:creationId xmlns:a16="http://schemas.microsoft.com/office/drawing/2014/main" id="{8BA41225-76D2-4F2F-9539-43D285797F99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10" name="Text Box 705">
          <a:extLst>
            <a:ext uri="{FF2B5EF4-FFF2-40B4-BE49-F238E27FC236}">
              <a16:creationId xmlns:a16="http://schemas.microsoft.com/office/drawing/2014/main" id="{46B39ABD-AC91-43D1-9324-86DC878431A4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11" name="Text Box 706">
          <a:extLst>
            <a:ext uri="{FF2B5EF4-FFF2-40B4-BE49-F238E27FC236}">
              <a16:creationId xmlns:a16="http://schemas.microsoft.com/office/drawing/2014/main" id="{86E950BC-701E-42D3-A765-3E1607835062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1619" name="Text Box 707">
          <a:extLst>
            <a:ext uri="{FF2B5EF4-FFF2-40B4-BE49-F238E27FC236}">
              <a16:creationId xmlns:a16="http://schemas.microsoft.com/office/drawing/2014/main" id="{B92193D0-695A-4D0A-9469-B9FB791CC12B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1620" name="Text Box 708">
          <a:extLst>
            <a:ext uri="{FF2B5EF4-FFF2-40B4-BE49-F238E27FC236}">
              <a16:creationId xmlns:a16="http://schemas.microsoft.com/office/drawing/2014/main" id="{1C738620-4934-4C12-B807-AB6E9BCE90A4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1621" name="Text Box 709">
          <a:extLst>
            <a:ext uri="{FF2B5EF4-FFF2-40B4-BE49-F238E27FC236}">
              <a16:creationId xmlns:a16="http://schemas.microsoft.com/office/drawing/2014/main" id="{5692B5A9-626A-40F7-A3E9-D814C3F2F129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1622" name="Text Box 710">
          <a:extLst>
            <a:ext uri="{FF2B5EF4-FFF2-40B4-BE49-F238E27FC236}">
              <a16:creationId xmlns:a16="http://schemas.microsoft.com/office/drawing/2014/main" id="{982BEE0E-EB1D-4C4F-81DC-CD652244DEE5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1623" name="Text Box 711">
          <a:extLst>
            <a:ext uri="{FF2B5EF4-FFF2-40B4-BE49-F238E27FC236}">
              <a16:creationId xmlns:a16="http://schemas.microsoft.com/office/drawing/2014/main" id="{477BF573-C0E3-43D3-A16C-B757C7FB389C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1624" name="Text Box 712">
          <a:extLst>
            <a:ext uri="{FF2B5EF4-FFF2-40B4-BE49-F238E27FC236}">
              <a16:creationId xmlns:a16="http://schemas.microsoft.com/office/drawing/2014/main" id="{7928744F-3723-4E08-84C7-E3764024F561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1625" name="Text Box 713">
          <a:extLst>
            <a:ext uri="{FF2B5EF4-FFF2-40B4-BE49-F238E27FC236}">
              <a16:creationId xmlns:a16="http://schemas.microsoft.com/office/drawing/2014/main" id="{D3933540-1526-456E-B7D5-588B46814754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1626" name="Text Box 714">
          <a:extLst>
            <a:ext uri="{FF2B5EF4-FFF2-40B4-BE49-F238E27FC236}">
              <a16:creationId xmlns:a16="http://schemas.microsoft.com/office/drawing/2014/main" id="{BF88A3ED-960D-499B-9733-EF0573571359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1627" name="Text Box 715">
          <a:extLst>
            <a:ext uri="{FF2B5EF4-FFF2-40B4-BE49-F238E27FC236}">
              <a16:creationId xmlns:a16="http://schemas.microsoft.com/office/drawing/2014/main" id="{E8BB521D-4657-43C5-8A0B-D3831A5B0EE4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1628" name="Text Box 716">
          <a:extLst>
            <a:ext uri="{FF2B5EF4-FFF2-40B4-BE49-F238E27FC236}">
              <a16:creationId xmlns:a16="http://schemas.microsoft.com/office/drawing/2014/main" id="{CE59BB3F-B71B-42BB-85B1-BB201350EC94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1629" name="Text Box 717">
          <a:extLst>
            <a:ext uri="{FF2B5EF4-FFF2-40B4-BE49-F238E27FC236}">
              <a16:creationId xmlns:a16="http://schemas.microsoft.com/office/drawing/2014/main" id="{C61D24C9-6162-4E04-8F47-A21A553BAFB3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1630" name="Text Box 718">
          <a:extLst>
            <a:ext uri="{FF2B5EF4-FFF2-40B4-BE49-F238E27FC236}">
              <a16:creationId xmlns:a16="http://schemas.microsoft.com/office/drawing/2014/main" id="{C24D64B5-209B-42AE-8505-9CBE8EF3923A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1631" name="Text Box 719">
          <a:extLst>
            <a:ext uri="{FF2B5EF4-FFF2-40B4-BE49-F238E27FC236}">
              <a16:creationId xmlns:a16="http://schemas.microsoft.com/office/drawing/2014/main" id="{89D82796-DAC7-4A5E-B94B-86216DCF0F20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1952" name="Text Box 720">
          <a:extLst>
            <a:ext uri="{FF2B5EF4-FFF2-40B4-BE49-F238E27FC236}">
              <a16:creationId xmlns:a16="http://schemas.microsoft.com/office/drawing/2014/main" id="{373AD5F8-2771-4127-B761-FDA6A741D1D8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1953" name="Text Box 721">
          <a:extLst>
            <a:ext uri="{FF2B5EF4-FFF2-40B4-BE49-F238E27FC236}">
              <a16:creationId xmlns:a16="http://schemas.microsoft.com/office/drawing/2014/main" id="{07F7B1AE-F01B-45CC-A8FE-C4B0DCC56981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1954" name="Text Box 722">
          <a:extLst>
            <a:ext uri="{FF2B5EF4-FFF2-40B4-BE49-F238E27FC236}">
              <a16:creationId xmlns:a16="http://schemas.microsoft.com/office/drawing/2014/main" id="{63AD58EE-CE11-4732-8A77-ED8DEDAEE94E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1955" name="Text Box 723">
          <a:extLst>
            <a:ext uri="{FF2B5EF4-FFF2-40B4-BE49-F238E27FC236}">
              <a16:creationId xmlns:a16="http://schemas.microsoft.com/office/drawing/2014/main" id="{3AB18CC5-49E1-448C-B901-C749AE9A52DF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1956" name="Text Box 724">
          <a:extLst>
            <a:ext uri="{FF2B5EF4-FFF2-40B4-BE49-F238E27FC236}">
              <a16:creationId xmlns:a16="http://schemas.microsoft.com/office/drawing/2014/main" id="{DFCB1CF0-6D66-48AF-A094-88812EF17388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1957" name="Text Box 725">
          <a:extLst>
            <a:ext uri="{FF2B5EF4-FFF2-40B4-BE49-F238E27FC236}">
              <a16:creationId xmlns:a16="http://schemas.microsoft.com/office/drawing/2014/main" id="{30C51568-CC51-4653-8D9E-5636BA68043B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1958" name="Text Box 726">
          <a:extLst>
            <a:ext uri="{FF2B5EF4-FFF2-40B4-BE49-F238E27FC236}">
              <a16:creationId xmlns:a16="http://schemas.microsoft.com/office/drawing/2014/main" id="{F516A545-43E4-427A-86DA-01EE42877813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129" name="Text Box 727">
          <a:extLst>
            <a:ext uri="{FF2B5EF4-FFF2-40B4-BE49-F238E27FC236}">
              <a16:creationId xmlns:a16="http://schemas.microsoft.com/office/drawing/2014/main" id="{0CB9FDE6-3BAF-4CDF-B145-B51FF641CA77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130" name="Text Box 728">
          <a:extLst>
            <a:ext uri="{FF2B5EF4-FFF2-40B4-BE49-F238E27FC236}">
              <a16:creationId xmlns:a16="http://schemas.microsoft.com/office/drawing/2014/main" id="{33F87CD9-7C02-4A57-9AF8-2D9656CF3211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131" name="Text Box 729">
          <a:extLst>
            <a:ext uri="{FF2B5EF4-FFF2-40B4-BE49-F238E27FC236}">
              <a16:creationId xmlns:a16="http://schemas.microsoft.com/office/drawing/2014/main" id="{B1590FCD-B2BC-4232-9970-76656177F0BE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12" name="Text Box 730">
          <a:extLst>
            <a:ext uri="{FF2B5EF4-FFF2-40B4-BE49-F238E27FC236}">
              <a16:creationId xmlns:a16="http://schemas.microsoft.com/office/drawing/2014/main" id="{E8D875C5-4993-4C35-9B35-9D96FFF91461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13" name="Text Box 731">
          <a:extLst>
            <a:ext uri="{FF2B5EF4-FFF2-40B4-BE49-F238E27FC236}">
              <a16:creationId xmlns:a16="http://schemas.microsoft.com/office/drawing/2014/main" id="{23462027-7B41-41F8-9FB7-15E279A56F70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14" name="Text Box 732">
          <a:extLst>
            <a:ext uri="{FF2B5EF4-FFF2-40B4-BE49-F238E27FC236}">
              <a16:creationId xmlns:a16="http://schemas.microsoft.com/office/drawing/2014/main" id="{54E3F636-BF4F-4D1F-B0AC-A680B55369E1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15" name="Text Box 733">
          <a:extLst>
            <a:ext uri="{FF2B5EF4-FFF2-40B4-BE49-F238E27FC236}">
              <a16:creationId xmlns:a16="http://schemas.microsoft.com/office/drawing/2014/main" id="{C699604E-D941-4845-ADFD-BDC0DDF2D7AA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16" name="Text Box 734">
          <a:extLst>
            <a:ext uri="{FF2B5EF4-FFF2-40B4-BE49-F238E27FC236}">
              <a16:creationId xmlns:a16="http://schemas.microsoft.com/office/drawing/2014/main" id="{48C3F20B-B3F9-4898-914F-DE43317FBE5A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17" name="Text Box 735">
          <a:extLst>
            <a:ext uri="{FF2B5EF4-FFF2-40B4-BE49-F238E27FC236}">
              <a16:creationId xmlns:a16="http://schemas.microsoft.com/office/drawing/2014/main" id="{73D606DF-EF23-4818-ADC5-2AD4A88D8C2C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18" name="Text Box 736">
          <a:extLst>
            <a:ext uri="{FF2B5EF4-FFF2-40B4-BE49-F238E27FC236}">
              <a16:creationId xmlns:a16="http://schemas.microsoft.com/office/drawing/2014/main" id="{CC9EE6FF-E0DD-46D8-A1A4-642C0B474E16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19" name="Text Box 737">
          <a:extLst>
            <a:ext uri="{FF2B5EF4-FFF2-40B4-BE49-F238E27FC236}">
              <a16:creationId xmlns:a16="http://schemas.microsoft.com/office/drawing/2014/main" id="{BEE03EDD-2F7C-4FBC-A630-A04EBE8E140E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20" name="Text Box 738">
          <a:extLst>
            <a:ext uri="{FF2B5EF4-FFF2-40B4-BE49-F238E27FC236}">
              <a16:creationId xmlns:a16="http://schemas.microsoft.com/office/drawing/2014/main" id="{F28F39E0-E15A-41D7-8335-4E2941D17B57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21" name="Text Box 739">
          <a:extLst>
            <a:ext uri="{FF2B5EF4-FFF2-40B4-BE49-F238E27FC236}">
              <a16:creationId xmlns:a16="http://schemas.microsoft.com/office/drawing/2014/main" id="{1A9B5F33-BA33-4870-969C-CA86EC89A9C3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22" name="Text Box 740">
          <a:extLst>
            <a:ext uri="{FF2B5EF4-FFF2-40B4-BE49-F238E27FC236}">
              <a16:creationId xmlns:a16="http://schemas.microsoft.com/office/drawing/2014/main" id="{EFCD9080-304A-48C6-A53B-6D33EEBCF621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23" name="Text Box 741">
          <a:extLst>
            <a:ext uri="{FF2B5EF4-FFF2-40B4-BE49-F238E27FC236}">
              <a16:creationId xmlns:a16="http://schemas.microsoft.com/office/drawing/2014/main" id="{F7B787E9-D27F-4861-99F0-74B9A1867050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24" name="Text Box 742">
          <a:extLst>
            <a:ext uri="{FF2B5EF4-FFF2-40B4-BE49-F238E27FC236}">
              <a16:creationId xmlns:a16="http://schemas.microsoft.com/office/drawing/2014/main" id="{9E9D1E03-4332-43EE-83E1-3FBFBC52DFD1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25" name="Text Box 743">
          <a:extLst>
            <a:ext uri="{FF2B5EF4-FFF2-40B4-BE49-F238E27FC236}">
              <a16:creationId xmlns:a16="http://schemas.microsoft.com/office/drawing/2014/main" id="{C369421E-9922-49AB-961F-D29575011E7A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26" name="Text Box 744">
          <a:extLst>
            <a:ext uri="{FF2B5EF4-FFF2-40B4-BE49-F238E27FC236}">
              <a16:creationId xmlns:a16="http://schemas.microsoft.com/office/drawing/2014/main" id="{80A01F4B-5880-48E9-AACE-F1B6FF31EDE8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27" name="Text Box 745">
          <a:extLst>
            <a:ext uri="{FF2B5EF4-FFF2-40B4-BE49-F238E27FC236}">
              <a16:creationId xmlns:a16="http://schemas.microsoft.com/office/drawing/2014/main" id="{9B33D66A-1F69-41FB-9304-FD60877CB95B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28" name="Text Box 746">
          <a:extLst>
            <a:ext uri="{FF2B5EF4-FFF2-40B4-BE49-F238E27FC236}">
              <a16:creationId xmlns:a16="http://schemas.microsoft.com/office/drawing/2014/main" id="{60248CC4-5983-47DF-9B99-13C60732B392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29" name="Text Box 747">
          <a:extLst>
            <a:ext uri="{FF2B5EF4-FFF2-40B4-BE49-F238E27FC236}">
              <a16:creationId xmlns:a16="http://schemas.microsoft.com/office/drawing/2014/main" id="{44D91157-0BCE-485B-A9FD-D8FF17960DF9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30" name="Text Box 748">
          <a:extLst>
            <a:ext uri="{FF2B5EF4-FFF2-40B4-BE49-F238E27FC236}">
              <a16:creationId xmlns:a16="http://schemas.microsoft.com/office/drawing/2014/main" id="{62CE798F-AB64-454C-A962-89582FCFEAEC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31" name="Text Box 749">
          <a:extLst>
            <a:ext uri="{FF2B5EF4-FFF2-40B4-BE49-F238E27FC236}">
              <a16:creationId xmlns:a16="http://schemas.microsoft.com/office/drawing/2014/main" id="{9B3F7BCD-3A9C-450F-910F-E5B8C3EE39CD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32" name="Text Box 750">
          <a:extLst>
            <a:ext uri="{FF2B5EF4-FFF2-40B4-BE49-F238E27FC236}">
              <a16:creationId xmlns:a16="http://schemas.microsoft.com/office/drawing/2014/main" id="{571E3798-C198-46DD-8E66-4ADDFBEBB23D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33" name="Text Box 751">
          <a:extLst>
            <a:ext uri="{FF2B5EF4-FFF2-40B4-BE49-F238E27FC236}">
              <a16:creationId xmlns:a16="http://schemas.microsoft.com/office/drawing/2014/main" id="{1A9FD5E4-B01F-4676-9428-919AB0F2DEE6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34" name="Text Box 752">
          <a:extLst>
            <a:ext uri="{FF2B5EF4-FFF2-40B4-BE49-F238E27FC236}">
              <a16:creationId xmlns:a16="http://schemas.microsoft.com/office/drawing/2014/main" id="{FEE95134-B977-429B-B9AD-D80CAE97854A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35" name="Text Box 753">
          <a:extLst>
            <a:ext uri="{FF2B5EF4-FFF2-40B4-BE49-F238E27FC236}">
              <a16:creationId xmlns:a16="http://schemas.microsoft.com/office/drawing/2014/main" id="{F00ECA9F-01AD-4A84-8B30-0EBBE51A8060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36" name="Text Box 754">
          <a:extLst>
            <a:ext uri="{FF2B5EF4-FFF2-40B4-BE49-F238E27FC236}">
              <a16:creationId xmlns:a16="http://schemas.microsoft.com/office/drawing/2014/main" id="{0EC30BB1-5868-45CC-A2CC-76EB477D0052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37" name="Text Box 755">
          <a:extLst>
            <a:ext uri="{FF2B5EF4-FFF2-40B4-BE49-F238E27FC236}">
              <a16:creationId xmlns:a16="http://schemas.microsoft.com/office/drawing/2014/main" id="{DC4082BB-B1E8-4F99-BB53-672F4FFD0032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38" name="Text Box 756">
          <a:extLst>
            <a:ext uri="{FF2B5EF4-FFF2-40B4-BE49-F238E27FC236}">
              <a16:creationId xmlns:a16="http://schemas.microsoft.com/office/drawing/2014/main" id="{E24A92C8-D792-4549-BA1D-21520D3D89DC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39" name="Text Box 757">
          <a:extLst>
            <a:ext uri="{FF2B5EF4-FFF2-40B4-BE49-F238E27FC236}">
              <a16:creationId xmlns:a16="http://schemas.microsoft.com/office/drawing/2014/main" id="{F270ACF1-4130-4B8F-A313-ACB83767EB55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40" name="Text Box 758">
          <a:extLst>
            <a:ext uri="{FF2B5EF4-FFF2-40B4-BE49-F238E27FC236}">
              <a16:creationId xmlns:a16="http://schemas.microsoft.com/office/drawing/2014/main" id="{0E732EB8-B321-47E4-887A-163FDFADF72F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41" name="Text Box 759">
          <a:extLst>
            <a:ext uri="{FF2B5EF4-FFF2-40B4-BE49-F238E27FC236}">
              <a16:creationId xmlns:a16="http://schemas.microsoft.com/office/drawing/2014/main" id="{81A90E33-B744-40C0-9B36-444A2774D1AC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42" name="Text Box 760">
          <a:extLst>
            <a:ext uri="{FF2B5EF4-FFF2-40B4-BE49-F238E27FC236}">
              <a16:creationId xmlns:a16="http://schemas.microsoft.com/office/drawing/2014/main" id="{CD458850-4618-404B-A82A-A3C0E2F486DA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43" name="Text Box 761">
          <a:extLst>
            <a:ext uri="{FF2B5EF4-FFF2-40B4-BE49-F238E27FC236}">
              <a16:creationId xmlns:a16="http://schemas.microsoft.com/office/drawing/2014/main" id="{3E1EDA17-883E-422A-9E67-EA57F3246CB2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44" name="Text Box 762">
          <a:extLst>
            <a:ext uri="{FF2B5EF4-FFF2-40B4-BE49-F238E27FC236}">
              <a16:creationId xmlns:a16="http://schemas.microsoft.com/office/drawing/2014/main" id="{4FB41DB2-64F3-4901-B773-BB5B57471387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45" name="Text Box 763">
          <a:extLst>
            <a:ext uri="{FF2B5EF4-FFF2-40B4-BE49-F238E27FC236}">
              <a16:creationId xmlns:a16="http://schemas.microsoft.com/office/drawing/2014/main" id="{52D1D839-B8EF-4358-BA16-236C2CE123F3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46" name="Text Box 764">
          <a:extLst>
            <a:ext uri="{FF2B5EF4-FFF2-40B4-BE49-F238E27FC236}">
              <a16:creationId xmlns:a16="http://schemas.microsoft.com/office/drawing/2014/main" id="{78C513A7-7870-4613-8178-947F375F8D7C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47" name="Text Box 765">
          <a:extLst>
            <a:ext uri="{FF2B5EF4-FFF2-40B4-BE49-F238E27FC236}">
              <a16:creationId xmlns:a16="http://schemas.microsoft.com/office/drawing/2014/main" id="{9A4D8CC4-0FE1-4643-89B6-574DBC913449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48" name="Text Box 766">
          <a:extLst>
            <a:ext uri="{FF2B5EF4-FFF2-40B4-BE49-F238E27FC236}">
              <a16:creationId xmlns:a16="http://schemas.microsoft.com/office/drawing/2014/main" id="{25658403-D59A-46E5-8ECD-52E5E5543439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49" name="Text Box 767">
          <a:extLst>
            <a:ext uri="{FF2B5EF4-FFF2-40B4-BE49-F238E27FC236}">
              <a16:creationId xmlns:a16="http://schemas.microsoft.com/office/drawing/2014/main" id="{927534C0-E593-417F-B6E4-F6B5983FDDE4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50" name="Text Box 768">
          <a:extLst>
            <a:ext uri="{FF2B5EF4-FFF2-40B4-BE49-F238E27FC236}">
              <a16:creationId xmlns:a16="http://schemas.microsoft.com/office/drawing/2014/main" id="{2736141F-1BF7-46AE-856D-B33EFF530255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51" name="Text Box 769">
          <a:extLst>
            <a:ext uri="{FF2B5EF4-FFF2-40B4-BE49-F238E27FC236}">
              <a16:creationId xmlns:a16="http://schemas.microsoft.com/office/drawing/2014/main" id="{976D43AC-F08F-482E-AC81-130600A169A5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52" name="Text Box 770">
          <a:extLst>
            <a:ext uri="{FF2B5EF4-FFF2-40B4-BE49-F238E27FC236}">
              <a16:creationId xmlns:a16="http://schemas.microsoft.com/office/drawing/2014/main" id="{94671B7B-4293-480D-AC42-A19FD0305BCB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53" name="Text Box 771">
          <a:extLst>
            <a:ext uri="{FF2B5EF4-FFF2-40B4-BE49-F238E27FC236}">
              <a16:creationId xmlns:a16="http://schemas.microsoft.com/office/drawing/2014/main" id="{BB9AD8DA-C91A-44E2-A539-9FA885B68D14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54" name="Text Box 772">
          <a:extLst>
            <a:ext uri="{FF2B5EF4-FFF2-40B4-BE49-F238E27FC236}">
              <a16:creationId xmlns:a16="http://schemas.microsoft.com/office/drawing/2014/main" id="{BDC95A43-E8BF-49DF-9255-A46700168C4C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55" name="Text Box 773">
          <a:extLst>
            <a:ext uri="{FF2B5EF4-FFF2-40B4-BE49-F238E27FC236}">
              <a16:creationId xmlns:a16="http://schemas.microsoft.com/office/drawing/2014/main" id="{E74CE91F-2B5A-46A3-B23D-A7479E5D28AD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56" name="Text Box 774">
          <a:extLst>
            <a:ext uri="{FF2B5EF4-FFF2-40B4-BE49-F238E27FC236}">
              <a16:creationId xmlns:a16="http://schemas.microsoft.com/office/drawing/2014/main" id="{5B9BDC77-5BAC-4244-B384-6E2021EA550E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57" name="Text Box 775">
          <a:extLst>
            <a:ext uri="{FF2B5EF4-FFF2-40B4-BE49-F238E27FC236}">
              <a16:creationId xmlns:a16="http://schemas.microsoft.com/office/drawing/2014/main" id="{CDD61E55-19A8-44F7-A127-783C695A3E57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58" name="Text Box 776">
          <a:extLst>
            <a:ext uri="{FF2B5EF4-FFF2-40B4-BE49-F238E27FC236}">
              <a16:creationId xmlns:a16="http://schemas.microsoft.com/office/drawing/2014/main" id="{BE742EA3-D496-456A-8865-E598F5D21737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59" name="Text Box 777">
          <a:extLst>
            <a:ext uri="{FF2B5EF4-FFF2-40B4-BE49-F238E27FC236}">
              <a16:creationId xmlns:a16="http://schemas.microsoft.com/office/drawing/2014/main" id="{24DBBCE1-9F10-4FB7-B474-CEB187765EB1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60" name="Text Box 693">
          <a:extLst>
            <a:ext uri="{FF2B5EF4-FFF2-40B4-BE49-F238E27FC236}">
              <a16:creationId xmlns:a16="http://schemas.microsoft.com/office/drawing/2014/main" id="{CE86079A-4ABC-4B1F-B5C1-10561376F001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61" name="Text Box 694">
          <a:extLst>
            <a:ext uri="{FF2B5EF4-FFF2-40B4-BE49-F238E27FC236}">
              <a16:creationId xmlns:a16="http://schemas.microsoft.com/office/drawing/2014/main" id="{471F533D-35D6-4E2F-89B2-A93A478CC20D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62" name="Text Box 695">
          <a:extLst>
            <a:ext uri="{FF2B5EF4-FFF2-40B4-BE49-F238E27FC236}">
              <a16:creationId xmlns:a16="http://schemas.microsoft.com/office/drawing/2014/main" id="{CB8D7387-E569-43C1-9F00-A5D97AD1DC15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63" name="Text Box 696">
          <a:extLst>
            <a:ext uri="{FF2B5EF4-FFF2-40B4-BE49-F238E27FC236}">
              <a16:creationId xmlns:a16="http://schemas.microsoft.com/office/drawing/2014/main" id="{754EF3F6-A9A9-42DD-B898-7FFC7CACD739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64" name="Text Box 697">
          <a:extLst>
            <a:ext uri="{FF2B5EF4-FFF2-40B4-BE49-F238E27FC236}">
              <a16:creationId xmlns:a16="http://schemas.microsoft.com/office/drawing/2014/main" id="{0C9FF300-E64D-40A1-8635-428C278E5EFA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65" name="Text Box 698">
          <a:extLst>
            <a:ext uri="{FF2B5EF4-FFF2-40B4-BE49-F238E27FC236}">
              <a16:creationId xmlns:a16="http://schemas.microsoft.com/office/drawing/2014/main" id="{8D3FCCE1-84AB-46CF-8D2C-8E7173602C8B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66" name="Text Box 699">
          <a:extLst>
            <a:ext uri="{FF2B5EF4-FFF2-40B4-BE49-F238E27FC236}">
              <a16:creationId xmlns:a16="http://schemas.microsoft.com/office/drawing/2014/main" id="{BD76DF95-304D-49C0-A80F-CF34D07E40E2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67" name="Text Box 700">
          <a:extLst>
            <a:ext uri="{FF2B5EF4-FFF2-40B4-BE49-F238E27FC236}">
              <a16:creationId xmlns:a16="http://schemas.microsoft.com/office/drawing/2014/main" id="{C41D20E7-DFB5-48DE-B72D-FE4AE0211E8B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68" name="Text Box 701">
          <a:extLst>
            <a:ext uri="{FF2B5EF4-FFF2-40B4-BE49-F238E27FC236}">
              <a16:creationId xmlns:a16="http://schemas.microsoft.com/office/drawing/2014/main" id="{8CAB1A72-84F3-48B2-B052-D2C9453A5535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69" name="Text Box 702">
          <a:extLst>
            <a:ext uri="{FF2B5EF4-FFF2-40B4-BE49-F238E27FC236}">
              <a16:creationId xmlns:a16="http://schemas.microsoft.com/office/drawing/2014/main" id="{1B6D3D9E-F10F-4A50-A91F-5EDACC14A22B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70" name="Text Box 703">
          <a:extLst>
            <a:ext uri="{FF2B5EF4-FFF2-40B4-BE49-F238E27FC236}">
              <a16:creationId xmlns:a16="http://schemas.microsoft.com/office/drawing/2014/main" id="{FE7A5F92-BC01-442C-906C-7F6FA80E7752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71" name="Text Box 704">
          <a:extLst>
            <a:ext uri="{FF2B5EF4-FFF2-40B4-BE49-F238E27FC236}">
              <a16:creationId xmlns:a16="http://schemas.microsoft.com/office/drawing/2014/main" id="{F0173066-F8DE-4BB7-B201-070FFAB9AB78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72" name="Text Box 705">
          <a:extLst>
            <a:ext uri="{FF2B5EF4-FFF2-40B4-BE49-F238E27FC236}">
              <a16:creationId xmlns:a16="http://schemas.microsoft.com/office/drawing/2014/main" id="{1CBFBDF8-79E8-448E-8CDC-3E45B597AD2D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73" name="Text Box 706">
          <a:extLst>
            <a:ext uri="{FF2B5EF4-FFF2-40B4-BE49-F238E27FC236}">
              <a16:creationId xmlns:a16="http://schemas.microsoft.com/office/drawing/2014/main" id="{226DC1D2-B29E-426D-BA81-C3BB904E1457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74" name="Text Box 707">
          <a:extLst>
            <a:ext uri="{FF2B5EF4-FFF2-40B4-BE49-F238E27FC236}">
              <a16:creationId xmlns:a16="http://schemas.microsoft.com/office/drawing/2014/main" id="{836AADB2-9598-48BC-9D04-69D545123A4A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75" name="Text Box 708">
          <a:extLst>
            <a:ext uri="{FF2B5EF4-FFF2-40B4-BE49-F238E27FC236}">
              <a16:creationId xmlns:a16="http://schemas.microsoft.com/office/drawing/2014/main" id="{A17B2601-63D2-4AA8-8DF4-C78DD6AAB5D1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76" name="Text Box 709">
          <a:extLst>
            <a:ext uri="{FF2B5EF4-FFF2-40B4-BE49-F238E27FC236}">
              <a16:creationId xmlns:a16="http://schemas.microsoft.com/office/drawing/2014/main" id="{045300F6-E370-4A13-87F0-45CB796F98F7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77" name="Text Box 710">
          <a:extLst>
            <a:ext uri="{FF2B5EF4-FFF2-40B4-BE49-F238E27FC236}">
              <a16:creationId xmlns:a16="http://schemas.microsoft.com/office/drawing/2014/main" id="{830334A1-3015-4949-8A27-CE5F6314591A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78" name="Text Box 711">
          <a:extLst>
            <a:ext uri="{FF2B5EF4-FFF2-40B4-BE49-F238E27FC236}">
              <a16:creationId xmlns:a16="http://schemas.microsoft.com/office/drawing/2014/main" id="{65C60F5A-4789-4D84-A68A-42BEEFF9CF42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79" name="Text Box 712">
          <a:extLst>
            <a:ext uri="{FF2B5EF4-FFF2-40B4-BE49-F238E27FC236}">
              <a16:creationId xmlns:a16="http://schemas.microsoft.com/office/drawing/2014/main" id="{10F8B243-1D96-4A7F-B888-0D2DF24B0F7C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80" name="Text Box 713">
          <a:extLst>
            <a:ext uri="{FF2B5EF4-FFF2-40B4-BE49-F238E27FC236}">
              <a16:creationId xmlns:a16="http://schemas.microsoft.com/office/drawing/2014/main" id="{1F5CEA57-902E-4763-B497-B8CE382AC399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81" name="Text Box 714">
          <a:extLst>
            <a:ext uri="{FF2B5EF4-FFF2-40B4-BE49-F238E27FC236}">
              <a16:creationId xmlns:a16="http://schemas.microsoft.com/office/drawing/2014/main" id="{A1D9E7A7-82F0-46AF-A167-4ABF0702CAAA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82" name="Text Box 715">
          <a:extLst>
            <a:ext uri="{FF2B5EF4-FFF2-40B4-BE49-F238E27FC236}">
              <a16:creationId xmlns:a16="http://schemas.microsoft.com/office/drawing/2014/main" id="{D83B79DE-4EF1-436D-8139-E47DE6A4C7C3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83" name="Text Box 716">
          <a:extLst>
            <a:ext uri="{FF2B5EF4-FFF2-40B4-BE49-F238E27FC236}">
              <a16:creationId xmlns:a16="http://schemas.microsoft.com/office/drawing/2014/main" id="{5DA6B881-452C-4BB0-B85C-6F7C0E25A443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84" name="Text Box 717">
          <a:extLst>
            <a:ext uri="{FF2B5EF4-FFF2-40B4-BE49-F238E27FC236}">
              <a16:creationId xmlns:a16="http://schemas.microsoft.com/office/drawing/2014/main" id="{192273AC-857D-4094-8370-3FE5E82619C3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85" name="Text Box 718">
          <a:extLst>
            <a:ext uri="{FF2B5EF4-FFF2-40B4-BE49-F238E27FC236}">
              <a16:creationId xmlns:a16="http://schemas.microsoft.com/office/drawing/2014/main" id="{391F3C84-FFF8-47DB-A6DC-76F9B525F903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86" name="Text Box 719">
          <a:extLst>
            <a:ext uri="{FF2B5EF4-FFF2-40B4-BE49-F238E27FC236}">
              <a16:creationId xmlns:a16="http://schemas.microsoft.com/office/drawing/2014/main" id="{854A4012-3615-4BA3-BC34-0683A083E7B1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87" name="Text Box 720">
          <a:extLst>
            <a:ext uri="{FF2B5EF4-FFF2-40B4-BE49-F238E27FC236}">
              <a16:creationId xmlns:a16="http://schemas.microsoft.com/office/drawing/2014/main" id="{55AE0D52-D65A-498A-9CA0-15FD54502D39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88" name="Text Box 721">
          <a:extLst>
            <a:ext uri="{FF2B5EF4-FFF2-40B4-BE49-F238E27FC236}">
              <a16:creationId xmlns:a16="http://schemas.microsoft.com/office/drawing/2014/main" id="{D970FAF3-9C16-461E-A411-57B0099DD259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89" name="Text Box 722">
          <a:extLst>
            <a:ext uri="{FF2B5EF4-FFF2-40B4-BE49-F238E27FC236}">
              <a16:creationId xmlns:a16="http://schemas.microsoft.com/office/drawing/2014/main" id="{B5D05CD1-3FD0-4EE3-BB32-CD48D673E992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90" name="Text Box 723">
          <a:extLst>
            <a:ext uri="{FF2B5EF4-FFF2-40B4-BE49-F238E27FC236}">
              <a16:creationId xmlns:a16="http://schemas.microsoft.com/office/drawing/2014/main" id="{55ECE796-E3A3-4B5C-9E47-5556E8C707DF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91" name="Text Box 724">
          <a:extLst>
            <a:ext uri="{FF2B5EF4-FFF2-40B4-BE49-F238E27FC236}">
              <a16:creationId xmlns:a16="http://schemas.microsoft.com/office/drawing/2014/main" id="{E70C9D4D-8C75-4744-BA0F-9335FE0414B3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92" name="Text Box 725">
          <a:extLst>
            <a:ext uri="{FF2B5EF4-FFF2-40B4-BE49-F238E27FC236}">
              <a16:creationId xmlns:a16="http://schemas.microsoft.com/office/drawing/2014/main" id="{B6D4AA8C-C0FB-4C77-B483-8BE8FF005089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93" name="Text Box 726">
          <a:extLst>
            <a:ext uri="{FF2B5EF4-FFF2-40B4-BE49-F238E27FC236}">
              <a16:creationId xmlns:a16="http://schemas.microsoft.com/office/drawing/2014/main" id="{036EBE2B-7F0C-46D5-8729-5760FD1AF450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94" name="Text Box 727">
          <a:extLst>
            <a:ext uri="{FF2B5EF4-FFF2-40B4-BE49-F238E27FC236}">
              <a16:creationId xmlns:a16="http://schemas.microsoft.com/office/drawing/2014/main" id="{0AD01C84-376C-4D47-A387-C7F883BEF412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95" name="Text Box 728">
          <a:extLst>
            <a:ext uri="{FF2B5EF4-FFF2-40B4-BE49-F238E27FC236}">
              <a16:creationId xmlns:a16="http://schemas.microsoft.com/office/drawing/2014/main" id="{4CA8166E-47A7-4411-B6FF-5717D2258703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96" name="Text Box 729">
          <a:extLst>
            <a:ext uri="{FF2B5EF4-FFF2-40B4-BE49-F238E27FC236}">
              <a16:creationId xmlns:a16="http://schemas.microsoft.com/office/drawing/2014/main" id="{28121530-45ED-48C3-BE24-127CE12881E3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97" name="Text Box 730">
          <a:extLst>
            <a:ext uri="{FF2B5EF4-FFF2-40B4-BE49-F238E27FC236}">
              <a16:creationId xmlns:a16="http://schemas.microsoft.com/office/drawing/2014/main" id="{BC3B4662-D372-491F-BE9D-10320316A0C3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98" name="Text Box 731">
          <a:extLst>
            <a:ext uri="{FF2B5EF4-FFF2-40B4-BE49-F238E27FC236}">
              <a16:creationId xmlns:a16="http://schemas.microsoft.com/office/drawing/2014/main" id="{BE0DC25A-1391-4F78-A8B2-E3E7C3E126BF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2999" name="Text Box 732">
          <a:extLst>
            <a:ext uri="{FF2B5EF4-FFF2-40B4-BE49-F238E27FC236}">
              <a16:creationId xmlns:a16="http://schemas.microsoft.com/office/drawing/2014/main" id="{B3EBB11D-6635-42C8-881F-C82FEF02E7F2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00" name="Text Box 733">
          <a:extLst>
            <a:ext uri="{FF2B5EF4-FFF2-40B4-BE49-F238E27FC236}">
              <a16:creationId xmlns:a16="http://schemas.microsoft.com/office/drawing/2014/main" id="{E8142DAF-B4EB-412A-9FA3-B6A5F9039865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01" name="Text Box 734">
          <a:extLst>
            <a:ext uri="{FF2B5EF4-FFF2-40B4-BE49-F238E27FC236}">
              <a16:creationId xmlns:a16="http://schemas.microsoft.com/office/drawing/2014/main" id="{9D38EA71-A8E9-45BE-9FB3-395024D5BE29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02" name="Text Box 735">
          <a:extLst>
            <a:ext uri="{FF2B5EF4-FFF2-40B4-BE49-F238E27FC236}">
              <a16:creationId xmlns:a16="http://schemas.microsoft.com/office/drawing/2014/main" id="{AFE6B76C-6E3B-49AA-8A2A-F98ABA14363D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03" name="Text Box 736">
          <a:extLst>
            <a:ext uri="{FF2B5EF4-FFF2-40B4-BE49-F238E27FC236}">
              <a16:creationId xmlns:a16="http://schemas.microsoft.com/office/drawing/2014/main" id="{3E54E975-D81F-4E07-88B1-0C3D5FE278B5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04" name="Text Box 737">
          <a:extLst>
            <a:ext uri="{FF2B5EF4-FFF2-40B4-BE49-F238E27FC236}">
              <a16:creationId xmlns:a16="http://schemas.microsoft.com/office/drawing/2014/main" id="{DD03B46E-11FF-4960-8814-6B5B47000E92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05" name="Text Box 738">
          <a:extLst>
            <a:ext uri="{FF2B5EF4-FFF2-40B4-BE49-F238E27FC236}">
              <a16:creationId xmlns:a16="http://schemas.microsoft.com/office/drawing/2014/main" id="{43878F6D-ED1D-432B-BE64-D990A99B369E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06" name="Text Box 739">
          <a:extLst>
            <a:ext uri="{FF2B5EF4-FFF2-40B4-BE49-F238E27FC236}">
              <a16:creationId xmlns:a16="http://schemas.microsoft.com/office/drawing/2014/main" id="{7567E50C-D132-47BE-9913-6824566401B6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07" name="Text Box 740">
          <a:extLst>
            <a:ext uri="{FF2B5EF4-FFF2-40B4-BE49-F238E27FC236}">
              <a16:creationId xmlns:a16="http://schemas.microsoft.com/office/drawing/2014/main" id="{F9EFA221-D427-4398-B54E-9E85447A27CA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08" name="Text Box 741">
          <a:extLst>
            <a:ext uri="{FF2B5EF4-FFF2-40B4-BE49-F238E27FC236}">
              <a16:creationId xmlns:a16="http://schemas.microsoft.com/office/drawing/2014/main" id="{B43ECDDA-352B-46FA-87F1-A739ED84EE93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09" name="Text Box 742">
          <a:extLst>
            <a:ext uri="{FF2B5EF4-FFF2-40B4-BE49-F238E27FC236}">
              <a16:creationId xmlns:a16="http://schemas.microsoft.com/office/drawing/2014/main" id="{0FF50FDE-F61A-4E80-AAD2-8A0D051758DF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10" name="Text Box 743">
          <a:extLst>
            <a:ext uri="{FF2B5EF4-FFF2-40B4-BE49-F238E27FC236}">
              <a16:creationId xmlns:a16="http://schemas.microsoft.com/office/drawing/2014/main" id="{7A2F5529-1129-4E3B-B13C-C3850984302A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11" name="Text Box 744">
          <a:extLst>
            <a:ext uri="{FF2B5EF4-FFF2-40B4-BE49-F238E27FC236}">
              <a16:creationId xmlns:a16="http://schemas.microsoft.com/office/drawing/2014/main" id="{3F5E8A70-7158-4D41-8D50-85D170690C1F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12" name="Text Box 745">
          <a:extLst>
            <a:ext uri="{FF2B5EF4-FFF2-40B4-BE49-F238E27FC236}">
              <a16:creationId xmlns:a16="http://schemas.microsoft.com/office/drawing/2014/main" id="{403A6B84-1317-4ED5-B9A6-9C83945FFA31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13" name="Text Box 746">
          <a:extLst>
            <a:ext uri="{FF2B5EF4-FFF2-40B4-BE49-F238E27FC236}">
              <a16:creationId xmlns:a16="http://schemas.microsoft.com/office/drawing/2014/main" id="{09EE59C6-304E-4F5D-BC52-850E4046E0DC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14" name="Text Box 747">
          <a:extLst>
            <a:ext uri="{FF2B5EF4-FFF2-40B4-BE49-F238E27FC236}">
              <a16:creationId xmlns:a16="http://schemas.microsoft.com/office/drawing/2014/main" id="{CFF3017D-1F55-4B4B-8949-51C4C3A55D7B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15" name="Text Box 748">
          <a:extLst>
            <a:ext uri="{FF2B5EF4-FFF2-40B4-BE49-F238E27FC236}">
              <a16:creationId xmlns:a16="http://schemas.microsoft.com/office/drawing/2014/main" id="{7088247D-FBD4-4C3A-A22A-D41066871AED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16" name="Text Box 749">
          <a:extLst>
            <a:ext uri="{FF2B5EF4-FFF2-40B4-BE49-F238E27FC236}">
              <a16:creationId xmlns:a16="http://schemas.microsoft.com/office/drawing/2014/main" id="{7980E045-C23B-4EA5-9389-47AFDF9545C8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17" name="Text Box 750">
          <a:extLst>
            <a:ext uri="{FF2B5EF4-FFF2-40B4-BE49-F238E27FC236}">
              <a16:creationId xmlns:a16="http://schemas.microsoft.com/office/drawing/2014/main" id="{ABD367DC-064F-4662-9AC6-BC858D11BE03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18" name="Text Box 751">
          <a:extLst>
            <a:ext uri="{FF2B5EF4-FFF2-40B4-BE49-F238E27FC236}">
              <a16:creationId xmlns:a16="http://schemas.microsoft.com/office/drawing/2014/main" id="{5AD81893-C063-4DFD-ABCF-219039C26CC1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19" name="Text Box 752">
          <a:extLst>
            <a:ext uri="{FF2B5EF4-FFF2-40B4-BE49-F238E27FC236}">
              <a16:creationId xmlns:a16="http://schemas.microsoft.com/office/drawing/2014/main" id="{C5C5CDB0-C005-416D-A391-8AB5E585BACC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20" name="Text Box 753">
          <a:extLst>
            <a:ext uri="{FF2B5EF4-FFF2-40B4-BE49-F238E27FC236}">
              <a16:creationId xmlns:a16="http://schemas.microsoft.com/office/drawing/2014/main" id="{C7CDE35A-2513-4E4B-9D28-A09461AE2946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21" name="Text Box 754">
          <a:extLst>
            <a:ext uri="{FF2B5EF4-FFF2-40B4-BE49-F238E27FC236}">
              <a16:creationId xmlns:a16="http://schemas.microsoft.com/office/drawing/2014/main" id="{5DA17AE6-BB8A-4979-B835-C60D21C229BB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22" name="Text Box 755">
          <a:extLst>
            <a:ext uri="{FF2B5EF4-FFF2-40B4-BE49-F238E27FC236}">
              <a16:creationId xmlns:a16="http://schemas.microsoft.com/office/drawing/2014/main" id="{4B3C9953-54F5-4965-B185-D0E2F15967EC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23" name="Text Box 756">
          <a:extLst>
            <a:ext uri="{FF2B5EF4-FFF2-40B4-BE49-F238E27FC236}">
              <a16:creationId xmlns:a16="http://schemas.microsoft.com/office/drawing/2014/main" id="{5E64C2CD-54B5-4453-AB66-4E19976BB35B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24" name="Text Box 757">
          <a:extLst>
            <a:ext uri="{FF2B5EF4-FFF2-40B4-BE49-F238E27FC236}">
              <a16:creationId xmlns:a16="http://schemas.microsoft.com/office/drawing/2014/main" id="{BFB53E1C-E83F-4F3D-9999-48BF6BCA78B9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25" name="Text Box 758">
          <a:extLst>
            <a:ext uri="{FF2B5EF4-FFF2-40B4-BE49-F238E27FC236}">
              <a16:creationId xmlns:a16="http://schemas.microsoft.com/office/drawing/2014/main" id="{BCA7101E-C54C-4BE6-9656-4CFE3923E180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26" name="Text Box 759">
          <a:extLst>
            <a:ext uri="{FF2B5EF4-FFF2-40B4-BE49-F238E27FC236}">
              <a16:creationId xmlns:a16="http://schemas.microsoft.com/office/drawing/2014/main" id="{BBD82036-E9AB-4FEE-BA14-99C22822B390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27" name="Text Box 760">
          <a:extLst>
            <a:ext uri="{FF2B5EF4-FFF2-40B4-BE49-F238E27FC236}">
              <a16:creationId xmlns:a16="http://schemas.microsoft.com/office/drawing/2014/main" id="{1C6BFDE2-7675-4DE6-AC2E-CBBD2456D669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28" name="Text Box 761">
          <a:extLst>
            <a:ext uri="{FF2B5EF4-FFF2-40B4-BE49-F238E27FC236}">
              <a16:creationId xmlns:a16="http://schemas.microsoft.com/office/drawing/2014/main" id="{90FA8020-FEA7-44E1-B6DD-C77CE70F511E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29" name="Text Box 762">
          <a:extLst>
            <a:ext uri="{FF2B5EF4-FFF2-40B4-BE49-F238E27FC236}">
              <a16:creationId xmlns:a16="http://schemas.microsoft.com/office/drawing/2014/main" id="{6D2AA4E7-3FED-4FE6-94E7-3C92365647EF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30" name="Text Box 763">
          <a:extLst>
            <a:ext uri="{FF2B5EF4-FFF2-40B4-BE49-F238E27FC236}">
              <a16:creationId xmlns:a16="http://schemas.microsoft.com/office/drawing/2014/main" id="{AC0E0D4E-9461-41E7-A7C8-33AE4A23BC34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31" name="Text Box 764">
          <a:extLst>
            <a:ext uri="{FF2B5EF4-FFF2-40B4-BE49-F238E27FC236}">
              <a16:creationId xmlns:a16="http://schemas.microsoft.com/office/drawing/2014/main" id="{3B82163E-D78A-4B75-A77B-0B3A21924CB9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32" name="Text Box 765">
          <a:extLst>
            <a:ext uri="{FF2B5EF4-FFF2-40B4-BE49-F238E27FC236}">
              <a16:creationId xmlns:a16="http://schemas.microsoft.com/office/drawing/2014/main" id="{E6D370DB-1F8B-4F68-AC4B-D7E5783BFCB9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33" name="Text Box 766">
          <a:extLst>
            <a:ext uri="{FF2B5EF4-FFF2-40B4-BE49-F238E27FC236}">
              <a16:creationId xmlns:a16="http://schemas.microsoft.com/office/drawing/2014/main" id="{F55DB189-847A-4331-A341-F5F19CBF00F0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34" name="Text Box 767">
          <a:extLst>
            <a:ext uri="{FF2B5EF4-FFF2-40B4-BE49-F238E27FC236}">
              <a16:creationId xmlns:a16="http://schemas.microsoft.com/office/drawing/2014/main" id="{E5A7BF4D-477B-44AD-9DF6-42D3478A100E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35" name="Text Box 768">
          <a:extLst>
            <a:ext uri="{FF2B5EF4-FFF2-40B4-BE49-F238E27FC236}">
              <a16:creationId xmlns:a16="http://schemas.microsoft.com/office/drawing/2014/main" id="{4E705F5C-A231-4F2B-B710-00682EADE906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36" name="Text Box 769">
          <a:extLst>
            <a:ext uri="{FF2B5EF4-FFF2-40B4-BE49-F238E27FC236}">
              <a16:creationId xmlns:a16="http://schemas.microsoft.com/office/drawing/2014/main" id="{B25E2CC8-A9B6-4B50-A522-7A7F63CED869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37" name="Text Box 770">
          <a:extLst>
            <a:ext uri="{FF2B5EF4-FFF2-40B4-BE49-F238E27FC236}">
              <a16:creationId xmlns:a16="http://schemas.microsoft.com/office/drawing/2014/main" id="{71813184-0331-4C35-9578-C1A407E6E1F3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38" name="Text Box 771">
          <a:extLst>
            <a:ext uri="{FF2B5EF4-FFF2-40B4-BE49-F238E27FC236}">
              <a16:creationId xmlns:a16="http://schemas.microsoft.com/office/drawing/2014/main" id="{5A4BDA8C-645C-4239-91E9-BE295940E9F1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39" name="Text Box 772">
          <a:extLst>
            <a:ext uri="{FF2B5EF4-FFF2-40B4-BE49-F238E27FC236}">
              <a16:creationId xmlns:a16="http://schemas.microsoft.com/office/drawing/2014/main" id="{DB27D140-5F18-4649-8FF1-B2BC72E943EC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40" name="Text Box 773">
          <a:extLst>
            <a:ext uri="{FF2B5EF4-FFF2-40B4-BE49-F238E27FC236}">
              <a16:creationId xmlns:a16="http://schemas.microsoft.com/office/drawing/2014/main" id="{3F23A7FF-1EBD-482D-9D13-E4B36392734F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41" name="Text Box 774">
          <a:extLst>
            <a:ext uri="{FF2B5EF4-FFF2-40B4-BE49-F238E27FC236}">
              <a16:creationId xmlns:a16="http://schemas.microsoft.com/office/drawing/2014/main" id="{11620B1D-E36E-4E40-97AF-D1594269BB01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42" name="Text Box 775">
          <a:extLst>
            <a:ext uri="{FF2B5EF4-FFF2-40B4-BE49-F238E27FC236}">
              <a16:creationId xmlns:a16="http://schemas.microsoft.com/office/drawing/2014/main" id="{1CAF75D2-AFA7-41C6-88FC-10A00D72E45C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43" name="Text Box 776">
          <a:extLst>
            <a:ext uri="{FF2B5EF4-FFF2-40B4-BE49-F238E27FC236}">
              <a16:creationId xmlns:a16="http://schemas.microsoft.com/office/drawing/2014/main" id="{84E31393-5C0E-41EE-A05B-BD3AB41B2822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44" name="Text Box 777">
          <a:extLst>
            <a:ext uri="{FF2B5EF4-FFF2-40B4-BE49-F238E27FC236}">
              <a16:creationId xmlns:a16="http://schemas.microsoft.com/office/drawing/2014/main" id="{4FB91891-198A-4899-8DD2-2B963D0CC581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45" name="Text Box 693">
          <a:extLst>
            <a:ext uri="{FF2B5EF4-FFF2-40B4-BE49-F238E27FC236}">
              <a16:creationId xmlns:a16="http://schemas.microsoft.com/office/drawing/2014/main" id="{6C82641E-FD27-4F51-B625-867A423E99AB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46" name="Text Box 694">
          <a:extLst>
            <a:ext uri="{FF2B5EF4-FFF2-40B4-BE49-F238E27FC236}">
              <a16:creationId xmlns:a16="http://schemas.microsoft.com/office/drawing/2014/main" id="{930C4012-C0DD-4818-BA25-7D22E4254806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47" name="Text Box 695">
          <a:extLst>
            <a:ext uri="{FF2B5EF4-FFF2-40B4-BE49-F238E27FC236}">
              <a16:creationId xmlns:a16="http://schemas.microsoft.com/office/drawing/2014/main" id="{CEE458DF-8193-4EB8-9EBF-73246B693DB0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48" name="Text Box 696">
          <a:extLst>
            <a:ext uri="{FF2B5EF4-FFF2-40B4-BE49-F238E27FC236}">
              <a16:creationId xmlns:a16="http://schemas.microsoft.com/office/drawing/2014/main" id="{8AD4A133-90DB-402E-97A0-D22CA504A38B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49" name="Text Box 697">
          <a:extLst>
            <a:ext uri="{FF2B5EF4-FFF2-40B4-BE49-F238E27FC236}">
              <a16:creationId xmlns:a16="http://schemas.microsoft.com/office/drawing/2014/main" id="{FF5A0BE8-BAFA-454D-A44B-EF39B77336FF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50" name="Text Box 698">
          <a:extLst>
            <a:ext uri="{FF2B5EF4-FFF2-40B4-BE49-F238E27FC236}">
              <a16:creationId xmlns:a16="http://schemas.microsoft.com/office/drawing/2014/main" id="{DCBB11A1-62A2-4C1C-8299-49463F97751D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51" name="Text Box 699">
          <a:extLst>
            <a:ext uri="{FF2B5EF4-FFF2-40B4-BE49-F238E27FC236}">
              <a16:creationId xmlns:a16="http://schemas.microsoft.com/office/drawing/2014/main" id="{6D06CBFF-4D51-4E94-A304-C9CD23A3D108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52" name="Text Box 700">
          <a:extLst>
            <a:ext uri="{FF2B5EF4-FFF2-40B4-BE49-F238E27FC236}">
              <a16:creationId xmlns:a16="http://schemas.microsoft.com/office/drawing/2014/main" id="{B2348867-73FB-4CF2-8882-3133109DBC81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53" name="Text Box 701">
          <a:extLst>
            <a:ext uri="{FF2B5EF4-FFF2-40B4-BE49-F238E27FC236}">
              <a16:creationId xmlns:a16="http://schemas.microsoft.com/office/drawing/2014/main" id="{CA40FDA0-CFD6-4CA7-BD5F-AA23BB4E15CA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54" name="Text Box 702">
          <a:extLst>
            <a:ext uri="{FF2B5EF4-FFF2-40B4-BE49-F238E27FC236}">
              <a16:creationId xmlns:a16="http://schemas.microsoft.com/office/drawing/2014/main" id="{DF8262EB-A2CE-4884-B650-DF6CBFC1485C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55" name="Text Box 703">
          <a:extLst>
            <a:ext uri="{FF2B5EF4-FFF2-40B4-BE49-F238E27FC236}">
              <a16:creationId xmlns:a16="http://schemas.microsoft.com/office/drawing/2014/main" id="{C0C7AE78-8E8D-4802-8496-20C857081D6B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56" name="Text Box 704">
          <a:extLst>
            <a:ext uri="{FF2B5EF4-FFF2-40B4-BE49-F238E27FC236}">
              <a16:creationId xmlns:a16="http://schemas.microsoft.com/office/drawing/2014/main" id="{0B2ED801-9BB1-43C6-B31B-2E36CF2250F5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57" name="Text Box 705">
          <a:extLst>
            <a:ext uri="{FF2B5EF4-FFF2-40B4-BE49-F238E27FC236}">
              <a16:creationId xmlns:a16="http://schemas.microsoft.com/office/drawing/2014/main" id="{1B93BB2E-EEA8-4BA3-9ECF-FA2DCBF7273B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58" name="Text Box 706">
          <a:extLst>
            <a:ext uri="{FF2B5EF4-FFF2-40B4-BE49-F238E27FC236}">
              <a16:creationId xmlns:a16="http://schemas.microsoft.com/office/drawing/2014/main" id="{D2B59AF4-3577-4D58-B3D7-F6880920E77E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59" name="Text Box 707">
          <a:extLst>
            <a:ext uri="{FF2B5EF4-FFF2-40B4-BE49-F238E27FC236}">
              <a16:creationId xmlns:a16="http://schemas.microsoft.com/office/drawing/2014/main" id="{A74EF681-5A5D-4F2E-9A5C-3A051A44DDFF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60" name="Text Box 708">
          <a:extLst>
            <a:ext uri="{FF2B5EF4-FFF2-40B4-BE49-F238E27FC236}">
              <a16:creationId xmlns:a16="http://schemas.microsoft.com/office/drawing/2014/main" id="{651A9441-5F67-4141-BF7D-63D64B1F2F14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61" name="Text Box 709">
          <a:extLst>
            <a:ext uri="{FF2B5EF4-FFF2-40B4-BE49-F238E27FC236}">
              <a16:creationId xmlns:a16="http://schemas.microsoft.com/office/drawing/2014/main" id="{6FCC5BEF-15A1-4BCD-96C9-DF0F68347C1F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62" name="Text Box 710">
          <a:extLst>
            <a:ext uri="{FF2B5EF4-FFF2-40B4-BE49-F238E27FC236}">
              <a16:creationId xmlns:a16="http://schemas.microsoft.com/office/drawing/2014/main" id="{581E6D9F-577E-441D-8764-0DF8571EFD3C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63" name="Text Box 711">
          <a:extLst>
            <a:ext uri="{FF2B5EF4-FFF2-40B4-BE49-F238E27FC236}">
              <a16:creationId xmlns:a16="http://schemas.microsoft.com/office/drawing/2014/main" id="{6F076F48-9818-41F0-BB01-8FC766C17783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64" name="Text Box 712">
          <a:extLst>
            <a:ext uri="{FF2B5EF4-FFF2-40B4-BE49-F238E27FC236}">
              <a16:creationId xmlns:a16="http://schemas.microsoft.com/office/drawing/2014/main" id="{AB0FE91B-884A-473F-9716-1D71A39086A6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65" name="Text Box 713">
          <a:extLst>
            <a:ext uri="{FF2B5EF4-FFF2-40B4-BE49-F238E27FC236}">
              <a16:creationId xmlns:a16="http://schemas.microsoft.com/office/drawing/2014/main" id="{5ECD0896-8EBC-45E7-96C4-B570E2712676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66" name="Text Box 714">
          <a:extLst>
            <a:ext uri="{FF2B5EF4-FFF2-40B4-BE49-F238E27FC236}">
              <a16:creationId xmlns:a16="http://schemas.microsoft.com/office/drawing/2014/main" id="{43E3CB2F-DF2D-42B6-B036-069560E01160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67" name="Text Box 715">
          <a:extLst>
            <a:ext uri="{FF2B5EF4-FFF2-40B4-BE49-F238E27FC236}">
              <a16:creationId xmlns:a16="http://schemas.microsoft.com/office/drawing/2014/main" id="{C5EF99C1-ABC6-401E-9B4F-5B053AF47611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68" name="Text Box 716">
          <a:extLst>
            <a:ext uri="{FF2B5EF4-FFF2-40B4-BE49-F238E27FC236}">
              <a16:creationId xmlns:a16="http://schemas.microsoft.com/office/drawing/2014/main" id="{A3D9D6B7-AA49-4BDA-9FA8-9924978F5AD5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69" name="Text Box 717">
          <a:extLst>
            <a:ext uri="{FF2B5EF4-FFF2-40B4-BE49-F238E27FC236}">
              <a16:creationId xmlns:a16="http://schemas.microsoft.com/office/drawing/2014/main" id="{50506E92-3338-431F-861B-46AE472FA7A0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70" name="Text Box 718">
          <a:extLst>
            <a:ext uri="{FF2B5EF4-FFF2-40B4-BE49-F238E27FC236}">
              <a16:creationId xmlns:a16="http://schemas.microsoft.com/office/drawing/2014/main" id="{24540244-9818-4EEF-A668-6632BF5C224C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71" name="Text Box 719">
          <a:extLst>
            <a:ext uri="{FF2B5EF4-FFF2-40B4-BE49-F238E27FC236}">
              <a16:creationId xmlns:a16="http://schemas.microsoft.com/office/drawing/2014/main" id="{F46CE3B2-0AB3-4B92-B9F0-EB4A760C3068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72" name="Text Box 720">
          <a:extLst>
            <a:ext uri="{FF2B5EF4-FFF2-40B4-BE49-F238E27FC236}">
              <a16:creationId xmlns:a16="http://schemas.microsoft.com/office/drawing/2014/main" id="{CCD63539-60CE-482B-A8ED-9792655D50A4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73" name="Text Box 721">
          <a:extLst>
            <a:ext uri="{FF2B5EF4-FFF2-40B4-BE49-F238E27FC236}">
              <a16:creationId xmlns:a16="http://schemas.microsoft.com/office/drawing/2014/main" id="{B363151A-6F20-4161-9378-8D9D1F370905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74" name="Text Box 722">
          <a:extLst>
            <a:ext uri="{FF2B5EF4-FFF2-40B4-BE49-F238E27FC236}">
              <a16:creationId xmlns:a16="http://schemas.microsoft.com/office/drawing/2014/main" id="{C9ECF0B7-2688-4815-BEE8-BDBBC8B0F592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75" name="Text Box 723">
          <a:extLst>
            <a:ext uri="{FF2B5EF4-FFF2-40B4-BE49-F238E27FC236}">
              <a16:creationId xmlns:a16="http://schemas.microsoft.com/office/drawing/2014/main" id="{3E4B3AD7-46C5-4AC5-9AD2-66902612CB87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76" name="Text Box 724">
          <a:extLst>
            <a:ext uri="{FF2B5EF4-FFF2-40B4-BE49-F238E27FC236}">
              <a16:creationId xmlns:a16="http://schemas.microsoft.com/office/drawing/2014/main" id="{1B11B542-E64F-4550-953A-D5A076A6B477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77" name="Text Box 725">
          <a:extLst>
            <a:ext uri="{FF2B5EF4-FFF2-40B4-BE49-F238E27FC236}">
              <a16:creationId xmlns:a16="http://schemas.microsoft.com/office/drawing/2014/main" id="{FB62921D-F818-4267-8118-4DCE247BFDFB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78" name="Text Box 726">
          <a:extLst>
            <a:ext uri="{FF2B5EF4-FFF2-40B4-BE49-F238E27FC236}">
              <a16:creationId xmlns:a16="http://schemas.microsoft.com/office/drawing/2014/main" id="{16D72F15-A5F7-4EC8-B743-90CFE94CFF05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79" name="Text Box 727">
          <a:extLst>
            <a:ext uri="{FF2B5EF4-FFF2-40B4-BE49-F238E27FC236}">
              <a16:creationId xmlns:a16="http://schemas.microsoft.com/office/drawing/2014/main" id="{59211E89-EE86-49BF-ADD6-B173165C1520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80" name="Text Box 728">
          <a:extLst>
            <a:ext uri="{FF2B5EF4-FFF2-40B4-BE49-F238E27FC236}">
              <a16:creationId xmlns:a16="http://schemas.microsoft.com/office/drawing/2014/main" id="{E4F4CC5B-1A14-461B-A72D-20F7FF89C758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81" name="Text Box 729">
          <a:extLst>
            <a:ext uri="{FF2B5EF4-FFF2-40B4-BE49-F238E27FC236}">
              <a16:creationId xmlns:a16="http://schemas.microsoft.com/office/drawing/2014/main" id="{68EB99DA-B372-418A-B1D7-65BF84247C83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82" name="Text Box 730">
          <a:extLst>
            <a:ext uri="{FF2B5EF4-FFF2-40B4-BE49-F238E27FC236}">
              <a16:creationId xmlns:a16="http://schemas.microsoft.com/office/drawing/2014/main" id="{01B70DDD-73F4-4E1B-9167-A9D058DD115D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83" name="Text Box 731">
          <a:extLst>
            <a:ext uri="{FF2B5EF4-FFF2-40B4-BE49-F238E27FC236}">
              <a16:creationId xmlns:a16="http://schemas.microsoft.com/office/drawing/2014/main" id="{8C4A1175-9119-4584-80FD-70E70EFDCF7C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84" name="Text Box 732">
          <a:extLst>
            <a:ext uri="{FF2B5EF4-FFF2-40B4-BE49-F238E27FC236}">
              <a16:creationId xmlns:a16="http://schemas.microsoft.com/office/drawing/2014/main" id="{5B3C4908-A9A4-4934-A3D3-72BD301C93FB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85" name="Text Box 733">
          <a:extLst>
            <a:ext uri="{FF2B5EF4-FFF2-40B4-BE49-F238E27FC236}">
              <a16:creationId xmlns:a16="http://schemas.microsoft.com/office/drawing/2014/main" id="{7072DDEF-7841-442A-BF24-5E78D3B1C751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86" name="Text Box 734">
          <a:extLst>
            <a:ext uri="{FF2B5EF4-FFF2-40B4-BE49-F238E27FC236}">
              <a16:creationId xmlns:a16="http://schemas.microsoft.com/office/drawing/2014/main" id="{A5F7DD81-9D81-49FF-AD4E-F594D3FBCB2A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87" name="Text Box 735">
          <a:extLst>
            <a:ext uri="{FF2B5EF4-FFF2-40B4-BE49-F238E27FC236}">
              <a16:creationId xmlns:a16="http://schemas.microsoft.com/office/drawing/2014/main" id="{4DCECCBC-3FF1-436A-AAEA-D702E2206AE2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88" name="Text Box 736">
          <a:extLst>
            <a:ext uri="{FF2B5EF4-FFF2-40B4-BE49-F238E27FC236}">
              <a16:creationId xmlns:a16="http://schemas.microsoft.com/office/drawing/2014/main" id="{19916716-E649-48A3-9950-BBC8F0B708B1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89" name="Text Box 737">
          <a:extLst>
            <a:ext uri="{FF2B5EF4-FFF2-40B4-BE49-F238E27FC236}">
              <a16:creationId xmlns:a16="http://schemas.microsoft.com/office/drawing/2014/main" id="{B9555B64-B8C8-4789-A09E-F6526A6C5BB3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90" name="Text Box 738">
          <a:extLst>
            <a:ext uri="{FF2B5EF4-FFF2-40B4-BE49-F238E27FC236}">
              <a16:creationId xmlns:a16="http://schemas.microsoft.com/office/drawing/2014/main" id="{8513BC25-9241-4DB7-8792-299E62DADB5F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91" name="Text Box 739">
          <a:extLst>
            <a:ext uri="{FF2B5EF4-FFF2-40B4-BE49-F238E27FC236}">
              <a16:creationId xmlns:a16="http://schemas.microsoft.com/office/drawing/2014/main" id="{6B693A0D-608D-4026-9663-BB745B92AC90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92" name="Text Box 740">
          <a:extLst>
            <a:ext uri="{FF2B5EF4-FFF2-40B4-BE49-F238E27FC236}">
              <a16:creationId xmlns:a16="http://schemas.microsoft.com/office/drawing/2014/main" id="{3796EC4B-7D21-46D9-9211-36615639D0C4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93" name="Text Box 741">
          <a:extLst>
            <a:ext uri="{FF2B5EF4-FFF2-40B4-BE49-F238E27FC236}">
              <a16:creationId xmlns:a16="http://schemas.microsoft.com/office/drawing/2014/main" id="{0E5F274B-D0B8-4D4E-9F48-CDD43C34C53E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94" name="Text Box 742">
          <a:extLst>
            <a:ext uri="{FF2B5EF4-FFF2-40B4-BE49-F238E27FC236}">
              <a16:creationId xmlns:a16="http://schemas.microsoft.com/office/drawing/2014/main" id="{00586B16-0ABE-4888-801E-100F2994E204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95" name="Text Box 743">
          <a:extLst>
            <a:ext uri="{FF2B5EF4-FFF2-40B4-BE49-F238E27FC236}">
              <a16:creationId xmlns:a16="http://schemas.microsoft.com/office/drawing/2014/main" id="{9F5857C0-218F-421B-B652-4EB57076BA39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96" name="Text Box 744">
          <a:extLst>
            <a:ext uri="{FF2B5EF4-FFF2-40B4-BE49-F238E27FC236}">
              <a16:creationId xmlns:a16="http://schemas.microsoft.com/office/drawing/2014/main" id="{C61D880B-8992-4A3D-95B0-60BC6E91DFCA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97" name="Text Box 745">
          <a:extLst>
            <a:ext uri="{FF2B5EF4-FFF2-40B4-BE49-F238E27FC236}">
              <a16:creationId xmlns:a16="http://schemas.microsoft.com/office/drawing/2014/main" id="{00862213-EE25-448E-BF44-375B2B9F307C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98" name="Text Box 746">
          <a:extLst>
            <a:ext uri="{FF2B5EF4-FFF2-40B4-BE49-F238E27FC236}">
              <a16:creationId xmlns:a16="http://schemas.microsoft.com/office/drawing/2014/main" id="{D5920422-AEED-4CA0-9C17-42A90EA57B1A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099" name="Text Box 747">
          <a:extLst>
            <a:ext uri="{FF2B5EF4-FFF2-40B4-BE49-F238E27FC236}">
              <a16:creationId xmlns:a16="http://schemas.microsoft.com/office/drawing/2014/main" id="{66291909-EC6E-473E-BFE0-3DCA1142567A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100" name="Text Box 748">
          <a:extLst>
            <a:ext uri="{FF2B5EF4-FFF2-40B4-BE49-F238E27FC236}">
              <a16:creationId xmlns:a16="http://schemas.microsoft.com/office/drawing/2014/main" id="{7E23E150-6909-4792-95FB-0668C9FFE485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101" name="Text Box 749">
          <a:extLst>
            <a:ext uri="{FF2B5EF4-FFF2-40B4-BE49-F238E27FC236}">
              <a16:creationId xmlns:a16="http://schemas.microsoft.com/office/drawing/2014/main" id="{8E9D9E3E-7A6E-4D3F-A4AF-929917DF01BE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102" name="Text Box 750">
          <a:extLst>
            <a:ext uri="{FF2B5EF4-FFF2-40B4-BE49-F238E27FC236}">
              <a16:creationId xmlns:a16="http://schemas.microsoft.com/office/drawing/2014/main" id="{DB40BEE1-6DDB-4922-B18C-5C132870A5EA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103" name="Text Box 751">
          <a:extLst>
            <a:ext uri="{FF2B5EF4-FFF2-40B4-BE49-F238E27FC236}">
              <a16:creationId xmlns:a16="http://schemas.microsoft.com/office/drawing/2014/main" id="{A2EB5263-A9E1-40ED-847D-814F7D41795C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104" name="Text Box 752">
          <a:extLst>
            <a:ext uri="{FF2B5EF4-FFF2-40B4-BE49-F238E27FC236}">
              <a16:creationId xmlns:a16="http://schemas.microsoft.com/office/drawing/2014/main" id="{FE0BFECA-E656-42F3-A44C-2A2562CB9518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105" name="Text Box 753">
          <a:extLst>
            <a:ext uri="{FF2B5EF4-FFF2-40B4-BE49-F238E27FC236}">
              <a16:creationId xmlns:a16="http://schemas.microsoft.com/office/drawing/2014/main" id="{DDF77943-3C07-45DA-B6B1-733CC00B948B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106" name="Text Box 754">
          <a:extLst>
            <a:ext uri="{FF2B5EF4-FFF2-40B4-BE49-F238E27FC236}">
              <a16:creationId xmlns:a16="http://schemas.microsoft.com/office/drawing/2014/main" id="{8C46941F-316A-4654-8F62-141BA79838A8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107" name="Text Box 755">
          <a:extLst>
            <a:ext uri="{FF2B5EF4-FFF2-40B4-BE49-F238E27FC236}">
              <a16:creationId xmlns:a16="http://schemas.microsoft.com/office/drawing/2014/main" id="{93C5757A-C6E0-4D8D-B23E-A436E40B4CF9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108" name="Text Box 756">
          <a:extLst>
            <a:ext uri="{FF2B5EF4-FFF2-40B4-BE49-F238E27FC236}">
              <a16:creationId xmlns:a16="http://schemas.microsoft.com/office/drawing/2014/main" id="{9410C0AC-B348-4DA1-9AEA-C45A1E4EAA60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109" name="Text Box 757">
          <a:extLst>
            <a:ext uri="{FF2B5EF4-FFF2-40B4-BE49-F238E27FC236}">
              <a16:creationId xmlns:a16="http://schemas.microsoft.com/office/drawing/2014/main" id="{1ED22443-76E1-4D86-A579-9EF980F6ABEE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110" name="Text Box 758">
          <a:extLst>
            <a:ext uri="{FF2B5EF4-FFF2-40B4-BE49-F238E27FC236}">
              <a16:creationId xmlns:a16="http://schemas.microsoft.com/office/drawing/2014/main" id="{15891B91-8692-4CBD-8E6A-B65F8163CB89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111" name="Text Box 759">
          <a:extLst>
            <a:ext uri="{FF2B5EF4-FFF2-40B4-BE49-F238E27FC236}">
              <a16:creationId xmlns:a16="http://schemas.microsoft.com/office/drawing/2014/main" id="{0BF6DE43-E516-4CBB-A11F-2E8FAD181284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112" name="Text Box 760">
          <a:extLst>
            <a:ext uri="{FF2B5EF4-FFF2-40B4-BE49-F238E27FC236}">
              <a16:creationId xmlns:a16="http://schemas.microsoft.com/office/drawing/2014/main" id="{81B96ACE-39B3-4BC8-B485-1627FCE1815B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113" name="Text Box 761">
          <a:extLst>
            <a:ext uri="{FF2B5EF4-FFF2-40B4-BE49-F238E27FC236}">
              <a16:creationId xmlns:a16="http://schemas.microsoft.com/office/drawing/2014/main" id="{B435364B-49DC-4E60-AC67-D89DB42CA362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114" name="Text Box 762">
          <a:extLst>
            <a:ext uri="{FF2B5EF4-FFF2-40B4-BE49-F238E27FC236}">
              <a16:creationId xmlns:a16="http://schemas.microsoft.com/office/drawing/2014/main" id="{00F28617-4744-4653-912E-AEFA2040F1BD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115" name="Text Box 763">
          <a:extLst>
            <a:ext uri="{FF2B5EF4-FFF2-40B4-BE49-F238E27FC236}">
              <a16:creationId xmlns:a16="http://schemas.microsoft.com/office/drawing/2014/main" id="{9C784FDA-4A33-4115-A3B4-E06C452F5F2B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116" name="Text Box 764">
          <a:extLst>
            <a:ext uri="{FF2B5EF4-FFF2-40B4-BE49-F238E27FC236}">
              <a16:creationId xmlns:a16="http://schemas.microsoft.com/office/drawing/2014/main" id="{BC377F59-9CBE-4266-B9D1-3CC7799111B4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117" name="Text Box 765">
          <a:extLst>
            <a:ext uri="{FF2B5EF4-FFF2-40B4-BE49-F238E27FC236}">
              <a16:creationId xmlns:a16="http://schemas.microsoft.com/office/drawing/2014/main" id="{B11CD927-1C2F-4384-BFBB-FD50206643CF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118" name="Text Box 766">
          <a:extLst>
            <a:ext uri="{FF2B5EF4-FFF2-40B4-BE49-F238E27FC236}">
              <a16:creationId xmlns:a16="http://schemas.microsoft.com/office/drawing/2014/main" id="{15118C05-5AF2-431B-8CD8-DCDE612380C1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119" name="Text Box 767">
          <a:extLst>
            <a:ext uri="{FF2B5EF4-FFF2-40B4-BE49-F238E27FC236}">
              <a16:creationId xmlns:a16="http://schemas.microsoft.com/office/drawing/2014/main" id="{6619F1F3-E73A-421F-BEBB-2FC57A8B5E69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120" name="Text Box 768">
          <a:extLst>
            <a:ext uri="{FF2B5EF4-FFF2-40B4-BE49-F238E27FC236}">
              <a16:creationId xmlns:a16="http://schemas.microsoft.com/office/drawing/2014/main" id="{69C7342C-8115-44E2-AD17-6FDAD1BCE915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121" name="Text Box 769">
          <a:extLst>
            <a:ext uri="{FF2B5EF4-FFF2-40B4-BE49-F238E27FC236}">
              <a16:creationId xmlns:a16="http://schemas.microsoft.com/office/drawing/2014/main" id="{BC33D3A3-BA43-4CC4-8EA9-3F1C8C5A6ACE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122" name="Text Box 770">
          <a:extLst>
            <a:ext uri="{FF2B5EF4-FFF2-40B4-BE49-F238E27FC236}">
              <a16:creationId xmlns:a16="http://schemas.microsoft.com/office/drawing/2014/main" id="{FA9BAB06-9D61-4A1C-9ED1-575DA68A1D97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123" name="Text Box 771">
          <a:extLst>
            <a:ext uri="{FF2B5EF4-FFF2-40B4-BE49-F238E27FC236}">
              <a16:creationId xmlns:a16="http://schemas.microsoft.com/office/drawing/2014/main" id="{90C3B817-EC71-4C5B-AC5E-7398C66BD381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124" name="Text Box 772">
          <a:extLst>
            <a:ext uri="{FF2B5EF4-FFF2-40B4-BE49-F238E27FC236}">
              <a16:creationId xmlns:a16="http://schemas.microsoft.com/office/drawing/2014/main" id="{94C4274D-8871-4239-AC86-B789EBA41DF3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125" name="Text Box 773">
          <a:extLst>
            <a:ext uri="{FF2B5EF4-FFF2-40B4-BE49-F238E27FC236}">
              <a16:creationId xmlns:a16="http://schemas.microsoft.com/office/drawing/2014/main" id="{FEFB74D0-D22B-43AF-BAB9-D763FB480FE4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126" name="Text Box 774">
          <a:extLst>
            <a:ext uri="{FF2B5EF4-FFF2-40B4-BE49-F238E27FC236}">
              <a16:creationId xmlns:a16="http://schemas.microsoft.com/office/drawing/2014/main" id="{3651B587-9EC1-4E8B-A96F-41DC281C4723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127" name="Text Box 775">
          <a:extLst>
            <a:ext uri="{FF2B5EF4-FFF2-40B4-BE49-F238E27FC236}">
              <a16:creationId xmlns:a16="http://schemas.microsoft.com/office/drawing/2014/main" id="{E2F7ECB4-4C74-4499-A450-A9059A1DF842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128" name="Text Box 776">
          <a:extLst>
            <a:ext uri="{FF2B5EF4-FFF2-40B4-BE49-F238E27FC236}">
              <a16:creationId xmlns:a16="http://schemas.microsoft.com/office/drawing/2014/main" id="{5484B180-D032-40E5-98C2-A2DBCCAA4B21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44</xdr:col>
      <xdr:colOff>0</xdr:colOff>
      <xdr:row>133</xdr:row>
      <xdr:rowOff>0</xdr:rowOff>
    </xdr:from>
    <xdr:to>
      <xdr:col>45</xdr:col>
      <xdr:colOff>323850</xdr:colOff>
      <xdr:row>134</xdr:row>
      <xdr:rowOff>0</xdr:rowOff>
    </xdr:to>
    <xdr:sp macro="" textlink="">
      <xdr:nvSpPr>
        <xdr:cNvPr id="3129" name="Text Box 777">
          <a:extLst>
            <a:ext uri="{FF2B5EF4-FFF2-40B4-BE49-F238E27FC236}">
              <a16:creationId xmlns:a16="http://schemas.microsoft.com/office/drawing/2014/main" id="{7AE7B292-2985-48C7-9DCA-52B94EBAD4FE}"/>
            </a:ext>
          </a:extLst>
        </xdr:cNvPr>
        <xdr:cNvSpPr>
          <a:spLocks noChangeArrowheads="1"/>
        </xdr:cNvSpPr>
      </xdr:nvSpPr>
      <xdr:spPr bwMode="auto">
        <a:xfrm>
          <a:off x="166497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130" name="Text Box 693">
          <a:extLst>
            <a:ext uri="{FF2B5EF4-FFF2-40B4-BE49-F238E27FC236}">
              <a16:creationId xmlns:a16="http://schemas.microsoft.com/office/drawing/2014/main" id="{76D2DFBF-F63A-469E-8A7F-8B35FE818889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131" name="Text Box 694">
          <a:extLst>
            <a:ext uri="{FF2B5EF4-FFF2-40B4-BE49-F238E27FC236}">
              <a16:creationId xmlns:a16="http://schemas.microsoft.com/office/drawing/2014/main" id="{7B36A0B1-5A08-4601-B1FF-B0B3D54ECC4D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132" name="Text Box 695">
          <a:extLst>
            <a:ext uri="{FF2B5EF4-FFF2-40B4-BE49-F238E27FC236}">
              <a16:creationId xmlns:a16="http://schemas.microsoft.com/office/drawing/2014/main" id="{2CED6865-3A5D-4542-A988-9F5F002F541A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133" name="Text Box 696">
          <a:extLst>
            <a:ext uri="{FF2B5EF4-FFF2-40B4-BE49-F238E27FC236}">
              <a16:creationId xmlns:a16="http://schemas.microsoft.com/office/drawing/2014/main" id="{3F1E437D-5B0F-4A59-8EBE-3B17C2AB96F5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134" name="Text Box 697">
          <a:extLst>
            <a:ext uri="{FF2B5EF4-FFF2-40B4-BE49-F238E27FC236}">
              <a16:creationId xmlns:a16="http://schemas.microsoft.com/office/drawing/2014/main" id="{58DCED62-5A80-4A88-B436-B4019ABA9CCC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135" name="Text Box 698">
          <a:extLst>
            <a:ext uri="{FF2B5EF4-FFF2-40B4-BE49-F238E27FC236}">
              <a16:creationId xmlns:a16="http://schemas.microsoft.com/office/drawing/2014/main" id="{D7778FE6-9DCD-457F-9E59-C2895295E0F3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136" name="Text Box 699">
          <a:extLst>
            <a:ext uri="{FF2B5EF4-FFF2-40B4-BE49-F238E27FC236}">
              <a16:creationId xmlns:a16="http://schemas.microsoft.com/office/drawing/2014/main" id="{59C68EAB-B4DB-4AB9-ACF1-17815E48EA96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137" name="Text Box 700">
          <a:extLst>
            <a:ext uri="{FF2B5EF4-FFF2-40B4-BE49-F238E27FC236}">
              <a16:creationId xmlns:a16="http://schemas.microsoft.com/office/drawing/2014/main" id="{D8888E1F-6AC0-4AD4-8F7D-A6B126583E39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138" name="Text Box 701">
          <a:extLst>
            <a:ext uri="{FF2B5EF4-FFF2-40B4-BE49-F238E27FC236}">
              <a16:creationId xmlns:a16="http://schemas.microsoft.com/office/drawing/2014/main" id="{82943488-69D5-4E03-82AB-635764155F95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139" name="Text Box 702">
          <a:extLst>
            <a:ext uri="{FF2B5EF4-FFF2-40B4-BE49-F238E27FC236}">
              <a16:creationId xmlns:a16="http://schemas.microsoft.com/office/drawing/2014/main" id="{358D3C6F-9E82-4970-A493-6972707FD9C6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140" name="Text Box 703">
          <a:extLst>
            <a:ext uri="{FF2B5EF4-FFF2-40B4-BE49-F238E27FC236}">
              <a16:creationId xmlns:a16="http://schemas.microsoft.com/office/drawing/2014/main" id="{27C03C9C-2563-44C8-A5AA-A4B972D41448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141" name="Text Box 704">
          <a:extLst>
            <a:ext uri="{FF2B5EF4-FFF2-40B4-BE49-F238E27FC236}">
              <a16:creationId xmlns:a16="http://schemas.microsoft.com/office/drawing/2014/main" id="{D2D8EDE6-123F-48DB-83FD-017C6C9FD107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142" name="Text Box 705">
          <a:extLst>
            <a:ext uri="{FF2B5EF4-FFF2-40B4-BE49-F238E27FC236}">
              <a16:creationId xmlns:a16="http://schemas.microsoft.com/office/drawing/2014/main" id="{1EDEA230-2D6E-4049-8C33-1D120F2D029D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143" name="Text Box 706">
          <a:extLst>
            <a:ext uri="{FF2B5EF4-FFF2-40B4-BE49-F238E27FC236}">
              <a16:creationId xmlns:a16="http://schemas.microsoft.com/office/drawing/2014/main" id="{38185F52-4870-459C-8F50-2B63B13DD1FD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144" name="Text Box 707">
          <a:extLst>
            <a:ext uri="{FF2B5EF4-FFF2-40B4-BE49-F238E27FC236}">
              <a16:creationId xmlns:a16="http://schemas.microsoft.com/office/drawing/2014/main" id="{469956B3-C471-42C4-9F84-4A57FAC6F36A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145" name="Text Box 708">
          <a:extLst>
            <a:ext uri="{FF2B5EF4-FFF2-40B4-BE49-F238E27FC236}">
              <a16:creationId xmlns:a16="http://schemas.microsoft.com/office/drawing/2014/main" id="{3C495C5D-3BF7-47C6-A226-13C3D73E53F1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146" name="Text Box 709">
          <a:extLst>
            <a:ext uri="{FF2B5EF4-FFF2-40B4-BE49-F238E27FC236}">
              <a16:creationId xmlns:a16="http://schemas.microsoft.com/office/drawing/2014/main" id="{62AD2359-6929-4E8D-BB10-1F4D0B68A989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147" name="Text Box 710">
          <a:extLst>
            <a:ext uri="{FF2B5EF4-FFF2-40B4-BE49-F238E27FC236}">
              <a16:creationId xmlns:a16="http://schemas.microsoft.com/office/drawing/2014/main" id="{B9460884-FA1D-43A7-A99A-66E85AE262CB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148" name="Text Box 711">
          <a:extLst>
            <a:ext uri="{FF2B5EF4-FFF2-40B4-BE49-F238E27FC236}">
              <a16:creationId xmlns:a16="http://schemas.microsoft.com/office/drawing/2014/main" id="{6057D597-886F-425B-8047-F597FA312E88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149" name="Text Box 712">
          <a:extLst>
            <a:ext uri="{FF2B5EF4-FFF2-40B4-BE49-F238E27FC236}">
              <a16:creationId xmlns:a16="http://schemas.microsoft.com/office/drawing/2014/main" id="{FCF8CEB5-69EB-486D-A14C-C65E1AC799A1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150" name="Text Box 713">
          <a:extLst>
            <a:ext uri="{FF2B5EF4-FFF2-40B4-BE49-F238E27FC236}">
              <a16:creationId xmlns:a16="http://schemas.microsoft.com/office/drawing/2014/main" id="{7FACCD4D-C260-4331-80F4-2F5268C632DB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151" name="Text Box 714">
          <a:extLst>
            <a:ext uri="{FF2B5EF4-FFF2-40B4-BE49-F238E27FC236}">
              <a16:creationId xmlns:a16="http://schemas.microsoft.com/office/drawing/2014/main" id="{7489ABC0-33FF-4EE9-9AE3-F5032C568C8B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152" name="Text Box 715">
          <a:extLst>
            <a:ext uri="{FF2B5EF4-FFF2-40B4-BE49-F238E27FC236}">
              <a16:creationId xmlns:a16="http://schemas.microsoft.com/office/drawing/2014/main" id="{7598D70A-1F0B-4744-ABAC-CDA31827B79F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153" name="Text Box 716">
          <a:extLst>
            <a:ext uri="{FF2B5EF4-FFF2-40B4-BE49-F238E27FC236}">
              <a16:creationId xmlns:a16="http://schemas.microsoft.com/office/drawing/2014/main" id="{69CF8260-DD10-429C-98E4-23A6926F6473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154" name="Text Box 717">
          <a:extLst>
            <a:ext uri="{FF2B5EF4-FFF2-40B4-BE49-F238E27FC236}">
              <a16:creationId xmlns:a16="http://schemas.microsoft.com/office/drawing/2014/main" id="{31E24BA1-F296-4A27-9B28-B9A84397353C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155" name="Text Box 718">
          <a:extLst>
            <a:ext uri="{FF2B5EF4-FFF2-40B4-BE49-F238E27FC236}">
              <a16:creationId xmlns:a16="http://schemas.microsoft.com/office/drawing/2014/main" id="{9CE3BC5E-F2C7-4CD1-AF28-1D5A1407250D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156" name="Text Box 719">
          <a:extLst>
            <a:ext uri="{FF2B5EF4-FFF2-40B4-BE49-F238E27FC236}">
              <a16:creationId xmlns:a16="http://schemas.microsoft.com/office/drawing/2014/main" id="{232151EE-C39C-4AB0-B6B5-64E41EBA909E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157" name="Text Box 720">
          <a:extLst>
            <a:ext uri="{FF2B5EF4-FFF2-40B4-BE49-F238E27FC236}">
              <a16:creationId xmlns:a16="http://schemas.microsoft.com/office/drawing/2014/main" id="{2CDF2F34-8EE7-43F2-A1DC-674F1980D5BE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158" name="Text Box 721">
          <a:extLst>
            <a:ext uri="{FF2B5EF4-FFF2-40B4-BE49-F238E27FC236}">
              <a16:creationId xmlns:a16="http://schemas.microsoft.com/office/drawing/2014/main" id="{A83D6A8B-155F-46B9-B9C1-E1DF8F78269C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159" name="Text Box 722">
          <a:extLst>
            <a:ext uri="{FF2B5EF4-FFF2-40B4-BE49-F238E27FC236}">
              <a16:creationId xmlns:a16="http://schemas.microsoft.com/office/drawing/2014/main" id="{596A9739-F6AE-4ACF-8537-CF2BA877004A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160" name="Text Box 723">
          <a:extLst>
            <a:ext uri="{FF2B5EF4-FFF2-40B4-BE49-F238E27FC236}">
              <a16:creationId xmlns:a16="http://schemas.microsoft.com/office/drawing/2014/main" id="{B4CBDED1-B6F0-4F37-8B72-E45E4DAF5D0B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161" name="Text Box 724">
          <a:extLst>
            <a:ext uri="{FF2B5EF4-FFF2-40B4-BE49-F238E27FC236}">
              <a16:creationId xmlns:a16="http://schemas.microsoft.com/office/drawing/2014/main" id="{5F8970C3-422C-4D1D-AE22-867E7EDF0916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162" name="Text Box 725">
          <a:extLst>
            <a:ext uri="{FF2B5EF4-FFF2-40B4-BE49-F238E27FC236}">
              <a16:creationId xmlns:a16="http://schemas.microsoft.com/office/drawing/2014/main" id="{A29D08A1-18B9-4CF3-9407-8823B248EA38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163" name="Text Box 726">
          <a:extLst>
            <a:ext uri="{FF2B5EF4-FFF2-40B4-BE49-F238E27FC236}">
              <a16:creationId xmlns:a16="http://schemas.microsoft.com/office/drawing/2014/main" id="{4D778AD6-880D-4972-A0E2-386C2FB520B7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164" name="Text Box 727">
          <a:extLst>
            <a:ext uri="{FF2B5EF4-FFF2-40B4-BE49-F238E27FC236}">
              <a16:creationId xmlns:a16="http://schemas.microsoft.com/office/drawing/2014/main" id="{FC2524A4-751F-49BD-A0B1-0D561BD923DC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165" name="Text Box 728">
          <a:extLst>
            <a:ext uri="{FF2B5EF4-FFF2-40B4-BE49-F238E27FC236}">
              <a16:creationId xmlns:a16="http://schemas.microsoft.com/office/drawing/2014/main" id="{898A12E7-470A-4D20-A14F-906613B2F7B5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166" name="Text Box 729">
          <a:extLst>
            <a:ext uri="{FF2B5EF4-FFF2-40B4-BE49-F238E27FC236}">
              <a16:creationId xmlns:a16="http://schemas.microsoft.com/office/drawing/2014/main" id="{57007517-2107-4799-AFD8-B96F88F660CC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167" name="Text Box 730">
          <a:extLst>
            <a:ext uri="{FF2B5EF4-FFF2-40B4-BE49-F238E27FC236}">
              <a16:creationId xmlns:a16="http://schemas.microsoft.com/office/drawing/2014/main" id="{ACEA1A88-68DF-47A9-AC85-E964D7D827C0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168" name="Text Box 731">
          <a:extLst>
            <a:ext uri="{FF2B5EF4-FFF2-40B4-BE49-F238E27FC236}">
              <a16:creationId xmlns:a16="http://schemas.microsoft.com/office/drawing/2014/main" id="{FCE01BB7-1CE7-43B3-B6D3-8C6C8EC46414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169" name="Text Box 732">
          <a:extLst>
            <a:ext uri="{FF2B5EF4-FFF2-40B4-BE49-F238E27FC236}">
              <a16:creationId xmlns:a16="http://schemas.microsoft.com/office/drawing/2014/main" id="{DBA1CC6F-3B12-4325-AE01-B374A967DEF9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170" name="Text Box 733">
          <a:extLst>
            <a:ext uri="{FF2B5EF4-FFF2-40B4-BE49-F238E27FC236}">
              <a16:creationId xmlns:a16="http://schemas.microsoft.com/office/drawing/2014/main" id="{F13A415E-3C01-4C8A-900E-FC58B560B711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171" name="Text Box 734">
          <a:extLst>
            <a:ext uri="{FF2B5EF4-FFF2-40B4-BE49-F238E27FC236}">
              <a16:creationId xmlns:a16="http://schemas.microsoft.com/office/drawing/2014/main" id="{8D993341-204A-461B-9333-DBE89CDAB4A1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172" name="Text Box 735">
          <a:extLst>
            <a:ext uri="{FF2B5EF4-FFF2-40B4-BE49-F238E27FC236}">
              <a16:creationId xmlns:a16="http://schemas.microsoft.com/office/drawing/2014/main" id="{FEB5793B-2A79-418F-851C-FC5733404C63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173" name="Text Box 736">
          <a:extLst>
            <a:ext uri="{FF2B5EF4-FFF2-40B4-BE49-F238E27FC236}">
              <a16:creationId xmlns:a16="http://schemas.microsoft.com/office/drawing/2014/main" id="{A1DD59AD-67F6-4180-9F00-209497664DB8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174" name="Text Box 737">
          <a:extLst>
            <a:ext uri="{FF2B5EF4-FFF2-40B4-BE49-F238E27FC236}">
              <a16:creationId xmlns:a16="http://schemas.microsoft.com/office/drawing/2014/main" id="{3FADF178-EEC9-48D9-8097-3D7552DCC394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175" name="Text Box 738">
          <a:extLst>
            <a:ext uri="{FF2B5EF4-FFF2-40B4-BE49-F238E27FC236}">
              <a16:creationId xmlns:a16="http://schemas.microsoft.com/office/drawing/2014/main" id="{B2687D8D-746C-4FDC-AA93-77DC59BEC88E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176" name="Text Box 739">
          <a:extLst>
            <a:ext uri="{FF2B5EF4-FFF2-40B4-BE49-F238E27FC236}">
              <a16:creationId xmlns:a16="http://schemas.microsoft.com/office/drawing/2014/main" id="{347EE89C-1DA1-4100-B64A-05C5BB468CD8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177" name="Text Box 740">
          <a:extLst>
            <a:ext uri="{FF2B5EF4-FFF2-40B4-BE49-F238E27FC236}">
              <a16:creationId xmlns:a16="http://schemas.microsoft.com/office/drawing/2014/main" id="{33DF3BA0-56E9-45CC-9E9A-0CA539B67ACF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178" name="Text Box 741">
          <a:extLst>
            <a:ext uri="{FF2B5EF4-FFF2-40B4-BE49-F238E27FC236}">
              <a16:creationId xmlns:a16="http://schemas.microsoft.com/office/drawing/2014/main" id="{B064AE3E-60F7-4A82-B51A-25A394AB0970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179" name="Text Box 742">
          <a:extLst>
            <a:ext uri="{FF2B5EF4-FFF2-40B4-BE49-F238E27FC236}">
              <a16:creationId xmlns:a16="http://schemas.microsoft.com/office/drawing/2014/main" id="{29FA0C32-2B0F-4142-8CDB-31ADDD28104B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180" name="Text Box 743">
          <a:extLst>
            <a:ext uri="{FF2B5EF4-FFF2-40B4-BE49-F238E27FC236}">
              <a16:creationId xmlns:a16="http://schemas.microsoft.com/office/drawing/2014/main" id="{8C1E9B68-B96D-432C-BE81-AF69660F39C1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181" name="Text Box 744">
          <a:extLst>
            <a:ext uri="{FF2B5EF4-FFF2-40B4-BE49-F238E27FC236}">
              <a16:creationId xmlns:a16="http://schemas.microsoft.com/office/drawing/2014/main" id="{42AD9F6B-C7F6-4767-9059-C5019793BDB4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182" name="Text Box 745">
          <a:extLst>
            <a:ext uri="{FF2B5EF4-FFF2-40B4-BE49-F238E27FC236}">
              <a16:creationId xmlns:a16="http://schemas.microsoft.com/office/drawing/2014/main" id="{A67C60B1-F793-4FCB-8412-4F13D66A1E0A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183" name="Text Box 746">
          <a:extLst>
            <a:ext uri="{FF2B5EF4-FFF2-40B4-BE49-F238E27FC236}">
              <a16:creationId xmlns:a16="http://schemas.microsoft.com/office/drawing/2014/main" id="{37FB2D86-6422-46AA-A0A7-1B8D2B9F02CE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184" name="Text Box 747">
          <a:extLst>
            <a:ext uri="{FF2B5EF4-FFF2-40B4-BE49-F238E27FC236}">
              <a16:creationId xmlns:a16="http://schemas.microsoft.com/office/drawing/2014/main" id="{7AC52B73-784F-40C1-89FA-71D5AE7CC274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185" name="Text Box 748">
          <a:extLst>
            <a:ext uri="{FF2B5EF4-FFF2-40B4-BE49-F238E27FC236}">
              <a16:creationId xmlns:a16="http://schemas.microsoft.com/office/drawing/2014/main" id="{4852C5B4-E69D-4879-9404-077606E70FA5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186" name="Text Box 749">
          <a:extLst>
            <a:ext uri="{FF2B5EF4-FFF2-40B4-BE49-F238E27FC236}">
              <a16:creationId xmlns:a16="http://schemas.microsoft.com/office/drawing/2014/main" id="{61211363-14C8-48C1-8427-13DF944CA60A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187" name="Text Box 750">
          <a:extLst>
            <a:ext uri="{FF2B5EF4-FFF2-40B4-BE49-F238E27FC236}">
              <a16:creationId xmlns:a16="http://schemas.microsoft.com/office/drawing/2014/main" id="{19841591-7C6F-4DA2-8026-DBA0FFF1E526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188" name="Text Box 751">
          <a:extLst>
            <a:ext uri="{FF2B5EF4-FFF2-40B4-BE49-F238E27FC236}">
              <a16:creationId xmlns:a16="http://schemas.microsoft.com/office/drawing/2014/main" id="{1C3E844B-2E69-44C1-B1BA-E0FCE28FCEFF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189" name="Text Box 752">
          <a:extLst>
            <a:ext uri="{FF2B5EF4-FFF2-40B4-BE49-F238E27FC236}">
              <a16:creationId xmlns:a16="http://schemas.microsoft.com/office/drawing/2014/main" id="{63BCD722-55D2-4D92-9970-E0BC187387AE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190" name="Text Box 753">
          <a:extLst>
            <a:ext uri="{FF2B5EF4-FFF2-40B4-BE49-F238E27FC236}">
              <a16:creationId xmlns:a16="http://schemas.microsoft.com/office/drawing/2014/main" id="{21E79974-961A-4BDC-9435-4CB74A4E494E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191" name="Text Box 754">
          <a:extLst>
            <a:ext uri="{FF2B5EF4-FFF2-40B4-BE49-F238E27FC236}">
              <a16:creationId xmlns:a16="http://schemas.microsoft.com/office/drawing/2014/main" id="{D4F0483D-15AC-4BC4-A2DC-A3A3083AF4A9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192" name="Text Box 755">
          <a:extLst>
            <a:ext uri="{FF2B5EF4-FFF2-40B4-BE49-F238E27FC236}">
              <a16:creationId xmlns:a16="http://schemas.microsoft.com/office/drawing/2014/main" id="{FBD4DDCF-BCDD-46CB-A21D-389730DE194E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193" name="Text Box 756">
          <a:extLst>
            <a:ext uri="{FF2B5EF4-FFF2-40B4-BE49-F238E27FC236}">
              <a16:creationId xmlns:a16="http://schemas.microsoft.com/office/drawing/2014/main" id="{A39BA11F-B821-433A-9AF9-4CD321C52AEC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194" name="Text Box 757">
          <a:extLst>
            <a:ext uri="{FF2B5EF4-FFF2-40B4-BE49-F238E27FC236}">
              <a16:creationId xmlns:a16="http://schemas.microsoft.com/office/drawing/2014/main" id="{A49CEFC8-A78A-4EE2-A719-B52021EB5DED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195" name="Text Box 758">
          <a:extLst>
            <a:ext uri="{FF2B5EF4-FFF2-40B4-BE49-F238E27FC236}">
              <a16:creationId xmlns:a16="http://schemas.microsoft.com/office/drawing/2014/main" id="{E1F12DE4-B3BE-4BDB-99A1-BD434F5CAE65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196" name="Text Box 759">
          <a:extLst>
            <a:ext uri="{FF2B5EF4-FFF2-40B4-BE49-F238E27FC236}">
              <a16:creationId xmlns:a16="http://schemas.microsoft.com/office/drawing/2014/main" id="{447A0311-686E-4C82-8FCB-8316854EE287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197" name="Text Box 760">
          <a:extLst>
            <a:ext uri="{FF2B5EF4-FFF2-40B4-BE49-F238E27FC236}">
              <a16:creationId xmlns:a16="http://schemas.microsoft.com/office/drawing/2014/main" id="{0AC53A81-8F88-4EAF-9106-CB2BC2EB0AD0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198" name="Text Box 761">
          <a:extLst>
            <a:ext uri="{FF2B5EF4-FFF2-40B4-BE49-F238E27FC236}">
              <a16:creationId xmlns:a16="http://schemas.microsoft.com/office/drawing/2014/main" id="{F2708871-6768-44DB-A27E-E28B5D573DCD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199" name="Text Box 762">
          <a:extLst>
            <a:ext uri="{FF2B5EF4-FFF2-40B4-BE49-F238E27FC236}">
              <a16:creationId xmlns:a16="http://schemas.microsoft.com/office/drawing/2014/main" id="{FB8891D3-FCD2-40B8-B8C7-72270226B7CB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00" name="Text Box 763">
          <a:extLst>
            <a:ext uri="{FF2B5EF4-FFF2-40B4-BE49-F238E27FC236}">
              <a16:creationId xmlns:a16="http://schemas.microsoft.com/office/drawing/2014/main" id="{4FA1D616-46CC-4441-A5C4-2B0D0F5D41FF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01" name="Text Box 764">
          <a:extLst>
            <a:ext uri="{FF2B5EF4-FFF2-40B4-BE49-F238E27FC236}">
              <a16:creationId xmlns:a16="http://schemas.microsoft.com/office/drawing/2014/main" id="{19E5A57F-0548-4A94-A5CD-4C3C382B7CE0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02" name="Text Box 765">
          <a:extLst>
            <a:ext uri="{FF2B5EF4-FFF2-40B4-BE49-F238E27FC236}">
              <a16:creationId xmlns:a16="http://schemas.microsoft.com/office/drawing/2014/main" id="{A6E499EA-9E44-43B4-9379-B1076A13DE5E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03" name="Text Box 766">
          <a:extLst>
            <a:ext uri="{FF2B5EF4-FFF2-40B4-BE49-F238E27FC236}">
              <a16:creationId xmlns:a16="http://schemas.microsoft.com/office/drawing/2014/main" id="{09AB8BC5-E7A9-4A28-AB5E-16FB831F05A8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04" name="Text Box 767">
          <a:extLst>
            <a:ext uri="{FF2B5EF4-FFF2-40B4-BE49-F238E27FC236}">
              <a16:creationId xmlns:a16="http://schemas.microsoft.com/office/drawing/2014/main" id="{94015621-8B80-4DDE-B318-B45C0B8001ED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05" name="Text Box 768">
          <a:extLst>
            <a:ext uri="{FF2B5EF4-FFF2-40B4-BE49-F238E27FC236}">
              <a16:creationId xmlns:a16="http://schemas.microsoft.com/office/drawing/2014/main" id="{D7341C32-E771-4E02-B7AE-C78E4826A781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06" name="Text Box 769">
          <a:extLst>
            <a:ext uri="{FF2B5EF4-FFF2-40B4-BE49-F238E27FC236}">
              <a16:creationId xmlns:a16="http://schemas.microsoft.com/office/drawing/2014/main" id="{F3694AC9-B0FF-4F8C-8920-4341F37E4FBA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07" name="Text Box 770">
          <a:extLst>
            <a:ext uri="{FF2B5EF4-FFF2-40B4-BE49-F238E27FC236}">
              <a16:creationId xmlns:a16="http://schemas.microsoft.com/office/drawing/2014/main" id="{F06D61B6-2F1E-466F-AED9-6DD059D13FC8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08" name="Text Box 771">
          <a:extLst>
            <a:ext uri="{FF2B5EF4-FFF2-40B4-BE49-F238E27FC236}">
              <a16:creationId xmlns:a16="http://schemas.microsoft.com/office/drawing/2014/main" id="{947418BE-C75A-4B81-8D8D-C0BC8ECE1199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09" name="Text Box 772">
          <a:extLst>
            <a:ext uri="{FF2B5EF4-FFF2-40B4-BE49-F238E27FC236}">
              <a16:creationId xmlns:a16="http://schemas.microsoft.com/office/drawing/2014/main" id="{10B2E4E8-743C-497C-B889-25B6B39E75C6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10" name="Text Box 773">
          <a:extLst>
            <a:ext uri="{FF2B5EF4-FFF2-40B4-BE49-F238E27FC236}">
              <a16:creationId xmlns:a16="http://schemas.microsoft.com/office/drawing/2014/main" id="{2FD2A370-E737-4E65-805D-84E08886618A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11" name="Text Box 774">
          <a:extLst>
            <a:ext uri="{FF2B5EF4-FFF2-40B4-BE49-F238E27FC236}">
              <a16:creationId xmlns:a16="http://schemas.microsoft.com/office/drawing/2014/main" id="{8588F913-64F6-4DB8-BF73-D46B5A0B463F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12" name="Text Box 775">
          <a:extLst>
            <a:ext uri="{FF2B5EF4-FFF2-40B4-BE49-F238E27FC236}">
              <a16:creationId xmlns:a16="http://schemas.microsoft.com/office/drawing/2014/main" id="{8F9BE40E-3A0D-40A9-B0B3-B61C33D6D908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13" name="Text Box 776">
          <a:extLst>
            <a:ext uri="{FF2B5EF4-FFF2-40B4-BE49-F238E27FC236}">
              <a16:creationId xmlns:a16="http://schemas.microsoft.com/office/drawing/2014/main" id="{1694E0DA-8E44-45F4-9046-E6DAE42CB4CC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14" name="Text Box 777">
          <a:extLst>
            <a:ext uri="{FF2B5EF4-FFF2-40B4-BE49-F238E27FC236}">
              <a16:creationId xmlns:a16="http://schemas.microsoft.com/office/drawing/2014/main" id="{687B5A5A-B54C-4042-8FD4-3F71F2EDCB4C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15" name="Text Box 693">
          <a:extLst>
            <a:ext uri="{FF2B5EF4-FFF2-40B4-BE49-F238E27FC236}">
              <a16:creationId xmlns:a16="http://schemas.microsoft.com/office/drawing/2014/main" id="{34364ACF-842C-4874-9A04-F4C4C35B1BAF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16" name="Text Box 694">
          <a:extLst>
            <a:ext uri="{FF2B5EF4-FFF2-40B4-BE49-F238E27FC236}">
              <a16:creationId xmlns:a16="http://schemas.microsoft.com/office/drawing/2014/main" id="{E32C8114-A388-4B2D-9BD3-9C6826FD8075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17" name="Text Box 695">
          <a:extLst>
            <a:ext uri="{FF2B5EF4-FFF2-40B4-BE49-F238E27FC236}">
              <a16:creationId xmlns:a16="http://schemas.microsoft.com/office/drawing/2014/main" id="{A846ED18-701D-4BD5-BAA2-72D0F7E155D5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18" name="Text Box 696">
          <a:extLst>
            <a:ext uri="{FF2B5EF4-FFF2-40B4-BE49-F238E27FC236}">
              <a16:creationId xmlns:a16="http://schemas.microsoft.com/office/drawing/2014/main" id="{FA814845-D49E-4CD2-A341-B85ED6CA090F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19" name="Text Box 697">
          <a:extLst>
            <a:ext uri="{FF2B5EF4-FFF2-40B4-BE49-F238E27FC236}">
              <a16:creationId xmlns:a16="http://schemas.microsoft.com/office/drawing/2014/main" id="{21FC3FA6-64AD-41B6-9BA2-310AEB8D93D6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20" name="Text Box 698">
          <a:extLst>
            <a:ext uri="{FF2B5EF4-FFF2-40B4-BE49-F238E27FC236}">
              <a16:creationId xmlns:a16="http://schemas.microsoft.com/office/drawing/2014/main" id="{721A4D94-DA4E-4794-9643-6E5F580291FB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21" name="Text Box 699">
          <a:extLst>
            <a:ext uri="{FF2B5EF4-FFF2-40B4-BE49-F238E27FC236}">
              <a16:creationId xmlns:a16="http://schemas.microsoft.com/office/drawing/2014/main" id="{EB8A7E28-7E0E-4EAB-93BF-38D87E2AF6A8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22" name="Text Box 700">
          <a:extLst>
            <a:ext uri="{FF2B5EF4-FFF2-40B4-BE49-F238E27FC236}">
              <a16:creationId xmlns:a16="http://schemas.microsoft.com/office/drawing/2014/main" id="{81954155-9A56-4AB7-AC26-242ADC6D9D58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23" name="Text Box 701">
          <a:extLst>
            <a:ext uri="{FF2B5EF4-FFF2-40B4-BE49-F238E27FC236}">
              <a16:creationId xmlns:a16="http://schemas.microsoft.com/office/drawing/2014/main" id="{D31566FC-8BB0-4855-98FD-4F6BB2B7A23C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24" name="Text Box 702">
          <a:extLst>
            <a:ext uri="{FF2B5EF4-FFF2-40B4-BE49-F238E27FC236}">
              <a16:creationId xmlns:a16="http://schemas.microsoft.com/office/drawing/2014/main" id="{BA1F1D1B-B9EC-4E58-AE27-F50144089DC5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25" name="Text Box 703">
          <a:extLst>
            <a:ext uri="{FF2B5EF4-FFF2-40B4-BE49-F238E27FC236}">
              <a16:creationId xmlns:a16="http://schemas.microsoft.com/office/drawing/2014/main" id="{9DF62230-B053-43EC-8901-8C5539190C97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26" name="Text Box 704">
          <a:extLst>
            <a:ext uri="{FF2B5EF4-FFF2-40B4-BE49-F238E27FC236}">
              <a16:creationId xmlns:a16="http://schemas.microsoft.com/office/drawing/2014/main" id="{BE80D678-5B40-4445-BFD1-5BD65F3B4FD4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27" name="Text Box 705">
          <a:extLst>
            <a:ext uri="{FF2B5EF4-FFF2-40B4-BE49-F238E27FC236}">
              <a16:creationId xmlns:a16="http://schemas.microsoft.com/office/drawing/2014/main" id="{9BBBFD6F-F5E8-4B61-8AF0-3547B586C56F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28" name="Text Box 706">
          <a:extLst>
            <a:ext uri="{FF2B5EF4-FFF2-40B4-BE49-F238E27FC236}">
              <a16:creationId xmlns:a16="http://schemas.microsoft.com/office/drawing/2014/main" id="{846C7D00-1053-4C61-9C71-855EDF9B4908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29" name="Text Box 707">
          <a:extLst>
            <a:ext uri="{FF2B5EF4-FFF2-40B4-BE49-F238E27FC236}">
              <a16:creationId xmlns:a16="http://schemas.microsoft.com/office/drawing/2014/main" id="{C4A723CC-6A5E-48C2-84CA-B084A6948830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30" name="Text Box 708">
          <a:extLst>
            <a:ext uri="{FF2B5EF4-FFF2-40B4-BE49-F238E27FC236}">
              <a16:creationId xmlns:a16="http://schemas.microsoft.com/office/drawing/2014/main" id="{E8149E9F-9092-4E09-BD7B-3A7617A027F8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31" name="Text Box 709">
          <a:extLst>
            <a:ext uri="{FF2B5EF4-FFF2-40B4-BE49-F238E27FC236}">
              <a16:creationId xmlns:a16="http://schemas.microsoft.com/office/drawing/2014/main" id="{F23E75DF-6EBE-4DAD-B9A3-B0169CF3B065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32" name="Text Box 710">
          <a:extLst>
            <a:ext uri="{FF2B5EF4-FFF2-40B4-BE49-F238E27FC236}">
              <a16:creationId xmlns:a16="http://schemas.microsoft.com/office/drawing/2014/main" id="{8AA86A52-A726-4060-8F16-D2008C38B408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33" name="Text Box 711">
          <a:extLst>
            <a:ext uri="{FF2B5EF4-FFF2-40B4-BE49-F238E27FC236}">
              <a16:creationId xmlns:a16="http://schemas.microsoft.com/office/drawing/2014/main" id="{661B0C89-158F-4F50-A5C8-54B1B5429881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34" name="Text Box 712">
          <a:extLst>
            <a:ext uri="{FF2B5EF4-FFF2-40B4-BE49-F238E27FC236}">
              <a16:creationId xmlns:a16="http://schemas.microsoft.com/office/drawing/2014/main" id="{E752FE0D-12C2-4F37-9A8A-6FC136008B84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35" name="Text Box 713">
          <a:extLst>
            <a:ext uri="{FF2B5EF4-FFF2-40B4-BE49-F238E27FC236}">
              <a16:creationId xmlns:a16="http://schemas.microsoft.com/office/drawing/2014/main" id="{DE6A119C-F75F-4C7E-8926-F3006692221E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36" name="Text Box 714">
          <a:extLst>
            <a:ext uri="{FF2B5EF4-FFF2-40B4-BE49-F238E27FC236}">
              <a16:creationId xmlns:a16="http://schemas.microsoft.com/office/drawing/2014/main" id="{5F10AC49-D7F9-41CB-BA92-63A8730664E6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37" name="Text Box 715">
          <a:extLst>
            <a:ext uri="{FF2B5EF4-FFF2-40B4-BE49-F238E27FC236}">
              <a16:creationId xmlns:a16="http://schemas.microsoft.com/office/drawing/2014/main" id="{81D96ED5-EF68-4408-9D35-E2F2EFAB11B4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38" name="Text Box 716">
          <a:extLst>
            <a:ext uri="{FF2B5EF4-FFF2-40B4-BE49-F238E27FC236}">
              <a16:creationId xmlns:a16="http://schemas.microsoft.com/office/drawing/2014/main" id="{CB473B01-79E2-42DA-872B-2DE4A0C0157C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39" name="Text Box 717">
          <a:extLst>
            <a:ext uri="{FF2B5EF4-FFF2-40B4-BE49-F238E27FC236}">
              <a16:creationId xmlns:a16="http://schemas.microsoft.com/office/drawing/2014/main" id="{9BF0A415-EC80-4451-A6AD-73373F1AACC4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40" name="Text Box 718">
          <a:extLst>
            <a:ext uri="{FF2B5EF4-FFF2-40B4-BE49-F238E27FC236}">
              <a16:creationId xmlns:a16="http://schemas.microsoft.com/office/drawing/2014/main" id="{A19AE4C1-74AB-4217-B015-FBC9FA040156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41" name="Text Box 719">
          <a:extLst>
            <a:ext uri="{FF2B5EF4-FFF2-40B4-BE49-F238E27FC236}">
              <a16:creationId xmlns:a16="http://schemas.microsoft.com/office/drawing/2014/main" id="{3BA9950B-2B55-4C71-B11B-E3A36D395360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42" name="Text Box 720">
          <a:extLst>
            <a:ext uri="{FF2B5EF4-FFF2-40B4-BE49-F238E27FC236}">
              <a16:creationId xmlns:a16="http://schemas.microsoft.com/office/drawing/2014/main" id="{97E52B6A-BD1A-49BE-B1F6-AE6193A9A28C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43" name="Text Box 721">
          <a:extLst>
            <a:ext uri="{FF2B5EF4-FFF2-40B4-BE49-F238E27FC236}">
              <a16:creationId xmlns:a16="http://schemas.microsoft.com/office/drawing/2014/main" id="{F7F405E5-7BAB-4249-8C42-4C508BAE8942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44" name="Text Box 722">
          <a:extLst>
            <a:ext uri="{FF2B5EF4-FFF2-40B4-BE49-F238E27FC236}">
              <a16:creationId xmlns:a16="http://schemas.microsoft.com/office/drawing/2014/main" id="{7459B9CC-D819-4568-9D15-140266D478AA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45" name="Text Box 723">
          <a:extLst>
            <a:ext uri="{FF2B5EF4-FFF2-40B4-BE49-F238E27FC236}">
              <a16:creationId xmlns:a16="http://schemas.microsoft.com/office/drawing/2014/main" id="{B886B220-0F24-4766-B844-F519FF216FA1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46" name="Text Box 724">
          <a:extLst>
            <a:ext uri="{FF2B5EF4-FFF2-40B4-BE49-F238E27FC236}">
              <a16:creationId xmlns:a16="http://schemas.microsoft.com/office/drawing/2014/main" id="{90DC4EEF-7792-4B6F-BA1A-047560402CD5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47" name="Text Box 725">
          <a:extLst>
            <a:ext uri="{FF2B5EF4-FFF2-40B4-BE49-F238E27FC236}">
              <a16:creationId xmlns:a16="http://schemas.microsoft.com/office/drawing/2014/main" id="{99D4EBA6-D02F-457B-9D59-678432AC6D3F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48" name="Text Box 726">
          <a:extLst>
            <a:ext uri="{FF2B5EF4-FFF2-40B4-BE49-F238E27FC236}">
              <a16:creationId xmlns:a16="http://schemas.microsoft.com/office/drawing/2014/main" id="{8FEECDB6-35B9-491F-AC47-67D4BC232939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49" name="Text Box 727">
          <a:extLst>
            <a:ext uri="{FF2B5EF4-FFF2-40B4-BE49-F238E27FC236}">
              <a16:creationId xmlns:a16="http://schemas.microsoft.com/office/drawing/2014/main" id="{EC6F24DB-821A-47C4-AE02-5E02452062B0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50" name="Text Box 728">
          <a:extLst>
            <a:ext uri="{FF2B5EF4-FFF2-40B4-BE49-F238E27FC236}">
              <a16:creationId xmlns:a16="http://schemas.microsoft.com/office/drawing/2014/main" id="{1569EB0A-0383-47D5-B7A5-E63341225446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51" name="Text Box 729">
          <a:extLst>
            <a:ext uri="{FF2B5EF4-FFF2-40B4-BE49-F238E27FC236}">
              <a16:creationId xmlns:a16="http://schemas.microsoft.com/office/drawing/2014/main" id="{22E70A32-51C2-49D0-95E9-C362C8C80EEF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52" name="Text Box 730">
          <a:extLst>
            <a:ext uri="{FF2B5EF4-FFF2-40B4-BE49-F238E27FC236}">
              <a16:creationId xmlns:a16="http://schemas.microsoft.com/office/drawing/2014/main" id="{68A0CC4D-D432-4D77-B750-551100CC5F26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53" name="Text Box 731">
          <a:extLst>
            <a:ext uri="{FF2B5EF4-FFF2-40B4-BE49-F238E27FC236}">
              <a16:creationId xmlns:a16="http://schemas.microsoft.com/office/drawing/2014/main" id="{2E3B2C52-802D-4421-81F3-73F8E215F915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54" name="Text Box 732">
          <a:extLst>
            <a:ext uri="{FF2B5EF4-FFF2-40B4-BE49-F238E27FC236}">
              <a16:creationId xmlns:a16="http://schemas.microsoft.com/office/drawing/2014/main" id="{3670FB74-4E57-4A95-A3E7-1A03AC7F2220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55" name="Text Box 733">
          <a:extLst>
            <a:ext uri="{FF2B5EF4-FFF2-40B4-BE49-F238E27FC236}">
              <a16:creationId xmlns:a16="http://schemas.microsoft.com/office/drawing/2014/main" id="{2B90B735-8E83-41C3-A4CE-95DD7BB09944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56" name="Text Box 734">
          <a:extLst>
            <a:ext uri="{FF2B5EF4-FFF2-40B4-BE49-F238E27FC236}">
              <a16:creationId xmlns:a16="http://schemas.microsoft.com/office/drawing/2014/main" id="{CDEF7343-F100-47A9-BAED-BD87498E0AA6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57" name="Text Box 735">
          <a:extLst>
            <a:ext uri="{FF2B5EF4-FFF2-40B4-BE49-F238E27FC236}">
              <a16:creationId xmlns:a16="http://schemas.microsoft.com/office/drawing/2014/main" id="{972A3139-A184-47A2-B82A-B54DD2DCABD7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58" name="Text Box 736">
          <a:extLst>
            <a:ext uri="{FF2B5EF4-FFF2-40B4-BE49-F238E27FC236}">
              <a16:creationId xmlns:a16="http://schemas.microsoft.com/office/drawing/2014/main" id="{A6DBA6C6-3837-4D66-B714-37945A7E2CED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59" name="Text Box 737">
          <a:extLst>
            <a:ext uri="{FF2B5EF4-FFF2-40B4-BE49-F238E27FC236}">
              <a16:creationId xmlns:a16="http://schemas.microsoft.com/office/drawing/2014/main" id="{EF2748D9-34DC-4F98-AF17-54BF73439453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60" name="Text Box 738">
          <a:extLst>
            <a:ext uri="{FF2B5EF4-FFF2-40B4-BE49-F238E27FC236}">
              <a16:creationId xmlns:a16="http://schemas.microsoft.com/office/drawing/2014/main" id="{3513A2FF-43A9-46E1-AB4C-C6DDD373ACA8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61" name="Text Box 739">
          <a:extLst>
            <a:ext uri="{FF2B5EF4-FFF2-40B4-BE49-F238E27FC236}">
              <a16:creationId xmlns:a16="http://schemas.microsoft.com/office/drawing/2014/main" id="{ECB6D5E0-0C6D-4696-A66E-FF77EEBD4F30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62" name="Text Box 740">
          <a:extLst>
            <a:ext uri="{FF2B5EF4-FFF2-40B4-BE49-F238E27FC236}">
              <a16:creationId xmlns:a16="http://schemas.microsoft.com/office/drawing/2014/main" id="{E9A49184-7884-43BF-865D-E6AFBE2F34FF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63" name="Text Box 741">
          <a:extLst>
            <a:ext uri="{FF2B5EF4-FFF2-40B4-BE49-F238E27FC236}">
              <a16:creationId xmlns:a16="http://schemas.microsoft.com/office/drawing/2014/main" id="{590E5FC2-C8B2-4F29-894E-3B318B1D71DE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64" name="Text Box 742">
          <a:extLst>
            <a:ext uri="{FF2B5EF4-FFF2-40B4-BE49-F238E27FC236}">
              <a16:creationId xmlns:a16="http://schemas.microsoft.com/office/drawing/2014/main" id="{34D28FBD-5FC7-432E-968D-80C5DC794F2D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65" name="Text Box 743">
          <a:extLst>
            <a:ext uri="{FF2B5EF4-FFF2-40B4-BE49-F238E27FC236}">
              <a16:creationId xmlns:a16="http://schemas.microsoft.com/office/drawing/2014/main" id="{2F0B8AC1-C14F-4C6B-9579-2BBEC1AF1B8F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66" name="Text Box 744">
          <a:extLst>
            <a:ext uri="{FF2B5EF4-FFF2-40B4-BE49-F238E27FC236}">
              <a16:creationId xmlns:a16="http://schemas.microsoft.com/office/drawing/2014/main" id="{5A47C1F6-4B86-4142-9E57-BDDD1E918F05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67" name="Text Box 745">
          <a:extLst>
            <a:ext uri="{FF2B5EF4-FFF2-40B4-BE49-F238E27FC236}">
              <a16:creationId xmlns:a16="http://schemas.microsoft.com/office/drawing/2014/main" id="{4CCCA8FB-AF39-43DE-8CB8-933084C6FF6B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68" name="Text Box 746">
          <a:extLst>
            <a:ext uri="{FF2B5EF4-FFF2-40B4-BE49-F238E27FC236}">
              <a16:creationId xmlns:a16="http://schemas.microsoft.com/office/drawing/2014/main" id="{F1DB6B9B-BB96-42EC-838A-2E037A42102F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69" name="Text Box 747">
          <a:extLst>
            <a:ext uri="{FF2B5EF4-FFF2-40B4-BE49-F238E27FC236}">
              <a16:creationId xmlns:a16="http://schemas.microsoft.com/office/drawing/2014/main" id="{AC2B2900-C0E3-4929-B0AF-F685857E1BD7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70" name="Text Box 748">
          <a:extLst>
            <a:ext uri="{FF2B5EF4-FFF2-40B4-BE49-F238E27FC236}">
              <a16:creationId xmlns:a16="http://schemas.microsoft.com/office/drawing/2014/main" id="{2A4384C4-98F5-4100-ACAB-5BC58907FCA2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71" name="Text Box 749">
          <a:extLst>
            <a:ext uri="{FF2B5EF4-FFF2-40B4-BE49-F238E27FC236}">
              <a16:creationId xmlns:a16="http://schemas.microsoft.com/office/drawing/2014/main" id="{C307C0EF-55CA-4A8C-A41B-6380EB4D4DD8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72" name="Text Box 750">
          <a:extLst>
            <a:ext uri="{FF2B5EF4-FFF2-40B4-BE49-F238E27FC236}">
              <a16:creationId xmlns:a16="http://schemas.microsoft.com/office/drawing/2014/main" id="{30CD8E1E-D9B7-4A9F-976E-BBED4DE6D682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73" name="Text Box 751">
          <a:extLst>
            <a:ext uri="{FF2B5EF4-FFF2-40B4-BE49-F238E27FC236}">
              <a16:creationId xmlns:a16="http://schemas.microsoft.com/office/drawing/2014/main" id="{CBA1B6C2-9FCC-4E7B-ADB9-ED7AA3CC1C0B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74" name="Text Box 752">
          <a:extLst>
            <a:ext uri="{FF2B5EF4-FFF2-40B4-BE49-F238E27FC236}">
              <a16:creationId xmlns:a16="http://schemas.microsoft.com/office/drawing/2014/main" id="{5986FD12-6D6B-41B1-AF07-9AD52C185CE0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75" name="Text Box 753">
          <a:extLst>
            <a:ext uri="{FF2B5EF4-FFF2-40B4-BE49-F238E27FC236}">
              <a16:creationId xmlns:a16="http://schemas.microsoft.com/office/drawing/2014/main" id="{9E125158-E0A6-4772-B9D7-397DF62338B7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76" name="Text Box 754">
          <a:extLst>
            <a:ext uri="{FF2B5EF4-FFF2-40B4-BE49-F238E27FC236}">
              <a16:creationId xmlns:a16="http://schemas.microsoft.com/office/drawing/2014/main" id="{48D13122-2817-4025-9DA8-B2A9C0AD15E1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77" name="Text Box 755">
          <a:extLst>
            <a:ext uri="{FF2B5EF4-FFF2-40B4-BE49-F238E27FC236}">
              <a16:creationId xmlns:a16="http://schemas.microsoft.com/office/drawing/2014/main" id="{DE2C7236-A42C-424C-A1FE-37EB41D516E7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78" name="Text Box 756">
          <a:extLst>
            <a:ext uri="{FF2B5EF4-FFF2-40B4-BE49-F238E27FC236}">
              <a16:creationId xmlns:a16="http://schemas.microsoft.com/office/drawing/2014/main" id="{359C4414-990A-4453-ACD8-F0EC4259EB86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79" name="Text Box 757">
          <a:extLst>
            <a:ext uri="{FF2B5EF4-FFF2-40B4-BE49-F238E27FC236}">
              <a16:creationId xmlns:a16="http://schemas.microsoft.com/office/drawing/2014/main" id="{82B32193-F79F-48FB-A574-84D1E40AF9A1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80" name="Text Box 758">
          <a:extLst>
            <a:ext uri="{FF2B5EF4-FFF2-40B4-BE49-F238E27FC236}">
              <a16:creationId xmlns:a16="http://schemas.microsoft.com/office/drawing/2014/main" id="{2DFB48B1-BDE0-4AD7-95BB-E1725353B5E1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81" name="Text Box 759">
          <a:extLst>
            <a:ext uri="{FF2B5EF4-FFF2-40B4-BE49-F238E27FC236}">
              <a16:creationId xmlns:a16="http://schemas.microsoft.com/office/drawing/2014/main" id="{32276D29-EF97-49B2-8B5B-AD70FD6427BF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82" name="Text Box 760">
          <a:extLst>
            <a:ext uri="{FF2B5EF4-FFF2-40B4-BE49-F238E27FC236}">
              <a16:creationId xmlns:a16="http://schemas.microsoft.com/office/drawing/2014/main" id="{80BE65D9-D973-48CF-A28D-48E515B148E2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83" name="Text Box 761">
          <a:extLst>
            <a:ext uri="{FF2B5EF4-FFF2-40B4-BE49-F238E27FC236}">
              <a16:creationId xmlns:a16="http://schemas.microsoft.com/office/drawing/2014/main" id="{174314B2-E818-4777-9CEF-AE7858B4F135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84" name="Text Box 762">
          <a:extLst>
            <a:ext uri="{FF2B5EF4-FFF2-40B4-BE49-F238E27FC236}">
              <a16:creationId xmlns:a16="http://schemas.microsoft.com/office/drawing/2014/main" id="{3B097459-6857-411E-8F7D-1BA858381C95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85" name="Text Box 763">
          <a:extLst>
            <a:ext uri="{FF2B5EF4-FFF2-40B4-BE49-F238E27FC236}">
              <a16:creationId xmlns:a16="http://schemas.microsoft.com/office/drawing/2014/main" id="{56DC711F-2541-4AD1-84B1-0426D3806DA1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86" name="Text Box 764">
          <a:extLst>
            <a:ext uri="{FF2B5EF4-FFF2-40B4-BE49-F238E27FC236}">
              <a16:creationId xmlns:a16="http://schemas.microsoft.com/office/drawing/2014/main" id="{B1D98900-1B0F-4AD2-99A6-F838AB7EEC13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87" name="Text Box 765">
          <a:extLst>
            <a:ext uri="{FF2B5EF4-FFF2-40B4-BE49-F238E27FC236}">
              <a16:creationId xmlns:a16="http://schemas.microsoft.com/office/drawing/2014/main" id="{6724869F-84B5-4A96-8C1F-AB37996B635D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88" name="Text Box 766">
          <a:extLst>
            <a:ext uri="{FF2B5EF4-FFF2-40B4-BE49-F238E27FC236}">
              <a16:creationId xmlns:a16="http://schemas.microsoft.com/office/drawing/2014/main" id="{D436292B-A7AC-4CFD-A33B-D702B8D7ACC8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89" name="Text Box 767">
          <a:extLst>
            <a:ext uri="{FF2B5EF4-FFF2-40B4-BE49-F238E27FC236}">
              <a16:creationId xmlns:a16="http://schemas.microsoft.com/office/drawing/2014/main" id="{F5E27618-5AC0-467D-B89A-35044EB17B25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90" name="Text Box 768">
          <a:extLst>
            <a:ext uri="{FF2B5EF4-FFF2-40B4-BE49-F238E27FC236}">
              <a16:creationId xmlns:a16="http://schemas.microsoft.com/office/drawing/2014/main" id="{30B130D1-6225-410C-91BF-39BA0BB873BB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91" name="Text Box 769">
          <a:extLst>
            <a:ext uri="{FF2B5EF4-FFF2-40B4-BE49-F238E27FC236}">
              <a16:creationId xmlns:a16="http://schemas.microsoft.com/office/drawing/2014/main" id="{03DA448D-00DC-436D-99F6-DE812C1F4B99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92" name="Text Box 770">
          <a:extLst>
            <a:ext uri="{FF2B5EF4-FFF2-40B4-BE49-F238E27FC236}">
              <a16:creationId xmlns:a16="http://schemas.microsoft.com/office/drawing/2014/main" id="{A54E801A-64CB-4264-A735-DBC725FD9529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93" name="Text Box 771">
          <a:extLst>
            <a:ext uri="{FF2B5EF4-FFF2-40B4-BE49-F238E27FC236}">
              <a16:creationId xmlns:a16="http://schemas.microsoft.com/office/drawing/2014/main" id="{C4011A1E-A92C-4B62-A7BA-D9C82ACC7E5C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94" name="Text Box 772">
          <a:extLst>
            <a:ext uri="{FF2B5EF4-FFF2-40B4-BE49-F238E27FC236}">
              <a16:creationId xmlns:a16="http://schemas.microsoft.com/office/drawing/2014/main" id="{0F27EF01-9AD4-414A-A878-961EBDC1A84E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95" name="Text Box 773">
          <a:extLst>
            <a:ext uri="{FF2B5EF4-FFF2-40B4-BE49-F238E27FC236}">
              <a16:creationId xmlns:a16="http://schemas.microsoft.com/office/drawing/2014/main" id="{CD642F4A-D45B-4344-AA02-8658725BE52A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96" name="Text Box 774">
          <a:extLst>
            <a:ext uri="{FF2B5EF4-FFF2-40B4-BE49-F238E27FC236}">
              <a16:creationId xmlns:a16="http://schemas.microsoft.com/office/drawing/2014/main" id="{960CA2BC-6CCD-4BAF-98E4-26FA3A667EB2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97" name="Text Box 775">
          <a:extLst>
            <a:ext uri="{FF2B5EF4-FFF2-40B4-BE49-F238E27FC236}">
              <a16:creationId xmlns:a16="http://schemas.microsoft.com/office/drawing/2014/main" id="{EDD907A8-64DE-48E3-B6D6-E4F673670F42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98" name="Text Box 776">
          <a:extLst>
            <a:ext uri="{FF2B5EF4-FFF2-40B4-BE49-F238E27FC236}">
              <a16:creationId xmlns:a16="http://schemas.microsoft.com/office/drawing/2014/main" id="{180DB47B-E0CE-4C27-8A89-7C8E00862109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299" name="Text Box 777">
          <a:extLst>
            <a:ext uri="{FF2B5EF4-FFF2-40B4-BE49-F238E27FC236}">
              <a16:creationId xmlns:a16="http://schemas.microsoft.com/office/drawing/2014/main" id="{12A8B844-06AE-423A-8F77-6DE28D5379D3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300" name="Text Box 693">
          <a:extLst>
            <a:ext uri="{FF2B5EF4-FFF2-40B4-BE49-F238E27FC236}">
              <a16:creationId xmlns:a16="http://schemas.microsoft.com/office/drawing/2014/main" id="{31A14D31-3A8D-49A5-AB9D-3D59D489E095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301" name="Text Box 694">
          <a:extLst>
            <a:ext uri="{FF2B5EF4-FFF2-40B4-BE49-F238E27FC236}">
              <a16:creationId xmlns:a16="http://schemas.microsoft.com/office/drawing/2014/main" id="{B0C6B351-B36B-4029-AC49-B86D4A293A48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302" name="Text Box 695">
          <a:extLst>
            <a:ext uri="{FF2B5EF4-FFF2-40B4-BE49-F238E27FC236}">
              <a16:creationId xmlns:a16="http://schemas.microsoft.com/office/drawing/2014/main" id="{3AC36E8A-176B-4614-AD52-692CDF9BB131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303" name="Text Box 696">
          <a:extLst>
            <a:ext uri="{FF2B5EF4-FFF2-40B4-BE49-F238E27FC236}">
              <a16:creationId xmlns:a16="http://schemas.microsoft.com/office/drawing/2014/main" id="{73C7B611-8CE8-4921-B531-D524EF6BD83A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304" name="Text Box 697">
          <a:extLst>
            <a:ext uri="{FF2B5EF4-FFF2-40B4-BE49-F238E27FC236}">
              <a16:creationId xmlns:a16="http://schemas.microsoft.com/office/drawing/2014/main" id="{C8D9AC33-AD92-44F1-A54C-4718919D85D2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305" name="Text Box 698">
          <a:extLst>
            <a:ext uri="{FF2B5EF4-FFF2-40B4-BE49-F238E27FC236}">
              <a16:creationId xmlns:a16="http://schemas.microsoft.com/office/drawing/2014/main" id="{E9CB49FA-72DA-42CC-B970-B0C0EB2DBAE5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306" name="Text Box 699">
          <a:extLst>
            <a:ext uri="{FF2B5EF4-FFF2-40B4-BE49-F238E27FC236}">
              <a16:creationId xmlns:a16="http://schemas.microsoft.com/office/drawing/2014/main" id="{DA0E893A-CF65-4701-A6C0-B025FEFAE9E8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307" name="Text Box 700">
          <a:extLst>
            <a:ext uri="{FF2B5EF4-FFF2-40B4-BE49-F238E27FC236}">
              <a16:creationId xmlns:a16="http://schemas.microsoft.com/office/drawing/2014/main" id="{EDB09A63-3926-4C84-8853-F36836B1FCA4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308" name="Text Box 701">
          <a:extLst>
            <a:ext uri="{FF2B5EF4-FFF2-40B4-BE49-F238E27FC236}">
              <a16:creationId xmlns:a16="http://schemas.microsoft.com/office/drawing/2014/main" id="{341EB425-D04C-4DB4-A65C-506212AA8812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309" name="Text Box 702">
          <a:extLst>
            <a:ext uri="{FF2B5EF4-FFF2-40B4-BE49-F238E27FC236}">
              <a16:creationId xmlns:a16="http://schemas.microsoft.com/office/drawing/2014/main" id="{EA893B06-64AE-425F-AF42-B3CB5C420117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310" name="Text Box 703">
          <a:extLst>
            <a:ext uri="{FF2B5EF4-FFF2-40B4-BE49-F238E27FC236}">
              <a16:creationId xmlns:a16="http://schemas.microsoft.com/office/drawing/2014/main" id="{C1CEFC18-51ED-4C89-9AC3-3274A05AA687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311" name="Text Box 704">
          <a:extLst>
            <a:ext uri="{FF2B5EF4-FFF2-40B4-BE49-F238E27FC236}">
              <a16:creationId xmlns:a16="http://schemas.microsoft.com/office/drawing/2014/main" id="{C303984F-D39E-43C9-B7D5-22547822FA3C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312" name="Text Box 705">
          <a:extLst>
            <a:ext uri="{FF2B5EF4-FFF2-40B4-BE49-F238E27FC236}">
              <a16:creationId xmlns:a16="http://schemas.microsoft.com/office/drawing/2014/main" id="{AA7AB9C6-E51D-41AC-97BA-092A9B883D95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313" name="Text Box 706">
          <a:extLst>
            <a:ext uri="{FF2B5EF4-FFF2-40B4-BE49-F238E27FC236}">
              <a16:creationId xmlns:a16="http://schemas.microsoft.com/office/drawing/2014/main" id="{F1FF5555-AB05-4F91-9A73-D3563CBE150B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314" name="Text Box 707">
          <a:extLst>
            <a:ext uri="{FF2B5EF4-FFF2-40B4-BE49-F238E27FC236}">
              <a16:creationId xmlns:a16="http://schemas.microsoft.com/office/drawing/2014/main" id="{E48DA41C-AEF5-43CA-A9DF-10893BB4D470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315" name="Text Box 708">
          <a:extLst>
            <a:ext uri="{FF2B5EF4-FFF2-40B4-BE49-F238E27FC236}">
              <a16:creationId xmlns:a16="http://schemas.microsoft.com/office/drawing/2014/main" id="{3D0AE160-DECE-4E92-9CE5-F0AE808F5F09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316" name="Text Box 709">
          <a:extLst>
            <a:ext uri="{FF2B5EF4-FFF2-40B4-BE49-F238E27FC236}">
              <a16:creationId xmlns:a16="http://schemas.microsoft.com/office/drawing/2014/main" id="{455894AE-8B49-4F31-955D-991821DFA5E7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317" name="Text Box 710">
          <a:extLst>
            <a:ext uri="{FF2B5EF4-FFF2-40B4-BE49-F238E27FC236}">
              <a16:creationId xmlns:a16="http://schemas.microsoft.com/office/drawing/2014/main" id="{E2970072-0126-450F-9978-8CE64AFD5820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318" name="Text Box 711">
          <a:extLst>
            <a:ext uri="{FF2B5EF4-FFF2-40B4-BE49-F238E27FC236}">
              <a16:creationId xmlns:a16="http://schemas.microsoft.com/office/drawing/2014/main" id="{4C8B1110-D56D-4768-BF32-734066EE9065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319" name="Text Box 712">
          <a:extLst>
            <a:ext uri="{FF2B5EF4-FFF2-40B4-BE49-F238E27FC236}">
              <a16:creationId xmlns:a16="http://schemas.microsoft.com/office/drawing/2014/main" id="{D65590D0-0E07-4536-B78A-BC846B839F6B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320" name="Text Box 713">
          <a:extLst>
            <a:ext uri="{FF2B5EF4-FFF2-40B4-BE49-F238E27FC236}">
              <a16:creationId xmlns:a16="http://schemas.microsoft.com/office/drawing/2014/main" id="{C4E1772E-08E4-43DA-9680-EABF62633B14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321" name="Text Box 714">
          <a:extLst>
            <a:ext uri="{FF2B5EF4-FFF2-40B4-BE49-F238E27FC236}">
              <a16:creationId xmlns:a16="http://schemas.microsoft.com/office/drawing/2014/main" id="{65DDEB49-D754-434E-A573-8A2DDB73F977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322" name="Text Box 715">
          <a:extLst>
            <a:ext uri="{FF2B5EF4-FFF2-40B4-BE49-F238E27FC236}">
              <a16:creationId xmlns:a16="http://schemas.microsoft.com/office/drawing/2014/main" id="{F8831CD0-D2F2-4C8D-A199-6A54D5E8FC0E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323" name="Text Box 716">
          <a:extLst>
            <a:ext uri="{FF2B5EF4-FFF2-40B4-BE49-F238E27FC236}">
              <a16:creationId xmlns:a16="http://schemas.microsoft.com/office/drawing/2014/main" id="{3B5259A5-BD36-4174-9AC3-7BC78AE5A505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324" name="Text Box 717">
          <a:extLst>
            <a:ext uri="{FF2B5EF4-FFF2-40B4-BE49-F238E27FC236}">
              <a16:creationId xmlns:a16="http://schemas.microsoft.com/office/drawing/2014/main" id="{BBFDF0A3-E5AF-4E44-B0B7-1A34D7579D3E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325" name="Text Box 718">
          <a:extLst>
            <a:ext uri="{FF2B5EF4-FFF2-40B4-BE49-F238E27FC236}">
              <a16:creationId xmlns:a16="http://schemas.microsoft.com/office/drawing/2014/main" id="{256EAAA3-2B58-4821-8DBB-90E1A1A76F33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326" name="Text Box 719">
          <a:extLst>
            <a:ext uri="{FF2B5EF4-FFF2-40B4-BE49-F238E27FC236}">
              <a16:creationId xmlns:a16="http://schemas.microsoft.com/office/drawing/2014/main" id="{F1FD1151-BCDA-41C1-A73C-B0635D9B8B23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327" name="Text Box 720">
          <a:extLst>
            <a:ext uri="{FF2B5EF4-FFF2-40B4-BE49-F238E27FC236}">
              <a16:creationId xmlns:a16="http://schemas.microsoft.com/office/drawing/2014/main" id="{797BBE53-2FEA-4408-9632-675E4DE35426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328" name="Text Box 721">
          <a:extLst>
            <a:ext uri="{FF2B5EF4-FFF2-40B4-BE49-F238E27FC236}">
              <a16:creationId xmlns:a16="http://schemas.microsoft.com/office/drawing/2014/main" id="{D793891E-133E-409A-97C0-95ABD54A8560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329" name="Text Box 722">
          <a:extLst>
            <a:ext uri="{FF2B5EF4-FFF2-40B4-BE49-F238E27FC236}">
              <a16:creationId xmlns:a16="http://schemas.microsoft.com/office/drawing/2014/main" id="{2ACCE3D3-C7DF-4E65-A648-2D066243E2E8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330" name="Text Box 723">
          <a:extLst>
            <a:ext uri="{FF2B5EF4-FFF2-40B4-BE49-F238E27FC236}">
              <a16:creationId xmlns:a16="http://schemas.microsoft.com/office/drawing/2014/main" id="{8FCA96AC-8C79-4406-934D-1DE76A8A615A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331" name="Text Box 724">
          <a:extLst>
            <a:ext uri="{FF2B5EF4-FFF2-40B4-BE49-F238E27FC236}">
              <a16:creationId xmlns:a16="http://schemas.microsoft.com/office/drawing/2014/main" id="{803C83EC-C0B5-4A99-B996-6E28618B504B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332" name="Text Box 725">
          <a:extLst>
            <a:ext uri="{FF2B5EF4-FFF2-40B4-BE49-F238E27FC236}">
              <a16:creationId xmlns:a16="http://schemas.microsoft.com/office/drawing/2014/main" id="{F959C427-46EE-40F5-958B-C154B247D56C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333" name="Text Box 726">
          <a:extLst>
            <a:ext uri="{FF2B5EF4-FFF2-40B4-BE49-F238E27FC236}">
              <a16:creationId xmlns:a16="http://schemas.microsoft.com/office/drawing/2014/main" id="{85F9423D-9F30-4D22-99DB-B05991A679D0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334" name="Text Box 727">
          <a:extLst>
            <a:ext uri="{FF2B5EF4-FFF2-40B4-BE49-F238E27FC236}">
              <a16:creationId xmlns:a16="http://schemas.microsoft.com/office/drawing/2014/main" id="{74653698-2061-4CCA-8A8E-F43A7512FAA0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335" name="Text Box 728">
          <a:extLst>
            <a:ext uri="{FF2B5EF4-FFF2-40B4-BE49-F238E27FC236}">
              <a16:creationId xmlns:a16="http://schemas.microsoft.com/office/drawing/2014/main" id="{4863E70D-8359-49CA-BD2F-98672C023BE4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336" name="Text Box 729">
          <a:extLst>
            <a:ext uri="{FF2B5EF4-FFF2-40B4-BE49-F238E27FC236}">
              <a16:creationId xmlns:a16="http://schemas.microsoft.com/office/drawing/2014/main" id="{183C84A1-040B-4C07-BED3-566EC7D48900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337" name="Text Box 730">
          <a:extLst>
            <a:ext uri="{FF2B5EF4-FFF2-40B4-BE49-F238E27FC236}">
              <a16:creationId xmlns:a16="http://schemas.microsoft.com/office/drawing/2014/main" id="{437CA744-B27D-49D8-B79E-25D103489692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338" name="Text Box 731">
          <a:extLst>
            <a:ext uri="{FF2B5EF4-FFF2-40B4-BE49-F238E27FC236}">
              <a16:creationId xmlns:a16="http://schemas.microsoft.com/office/drawing/2014/main" id="{9767E6E7-D030-4CA8-991F-27D3445360D4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339" name="Text Box 732">
          <a:extLst>
            <a:ext uri="{FF2B5EF4-FFF2-40B4-BE49-F238E27FC236}">
              <a16:creationId xmlns:a16="http://schemas.microsoft.com/office/drawing/2014/main" id="{C2CBA6C7-D52F-4FDE-8383-F2346E64AE28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340" name="Text Box 733">
          <a:extLst>
            <a:ext uri="{FF2B5EF4-FFF2-40B4-BE49-F238E27FC236}">
              <a16:creationId xmlns:a16="http://schemas.microsoft.com/office/drawing/2014/main" id="{D95B4E25-55E6-4227-8A7E-C2CD65FFE860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341" name="Text Box 734">
          <a:extLst>
            <a:ext uri="{FF2B5EF4-FFF2-40B4-BE49-F238E27FC236}">
              <a16:creationId xmlns:a16="http://schemas.microsoft.com/office/drawing/2014/main" id="{4D8F9A95-18FE-4EC4-89CC-190A796AF96B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342" name="Text Box 735">
          <a:extLst>
            <a:ext uri="{FF2B5EF4-FFF2-40B4-BE49-F238E27FC236}">
              <a16:creationId xmlns:a16="http://schemas.microsoft.com/office/drawing/2014/main" id="{DF7E4A5B-B711-4E2B-BB8E-51CB6928FB94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343" name="Text Box 736">
          <a:extLst>
            <a:ext uri="{FF2B5EF4-FFF2-40B4-BE49-F238E27FC236}">
              <a16:creationId xmlns:a16="http://schemas.microsoft.com/office/drawing/2014/main" id="{C2C0E3B4-4DF4-48E6-8310-4AD63491B3E6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344" name="Text Box 737">
          <a:extLst>
            <a:ext uri="{FF2B5EF4-FFF2-40B4-BE49-F238E27FC236}">
              <a16:creationId xmlns:a16="http://schemas.microsoft.com/office/drawing/2014/main" id="{1E8B36A3-8DDD-4865-91C9-650EDA7A5480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345" name="Text Box 738">
          <a:extLst>
            <a:ext uri="{FF2B5EF4-FFF2-40B4-BE49-F238E27FC236}">
              <a16:creationId xmlns:a16="http://schemas.microsoft.com/office/drawing/2014/main" id="{74D0296B-0742-403B-AD65-558A59E841FA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346" name="Text Box 739">
          <a:extLst>
            <a:ext uri="{FF2B5EF4-FFF2-40B4-BE49-F238E27FC236}">
              <a16:creationId xmlns:a16="http://schemas.microsoft.com/office/drawing/2014/main" id="{B15E69A1-7F6C-4D29-87EE-34B0ECD58FDB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347" name="Text Box 740">
          <a:extLst>
            <a:ext uri="{FF2B5EF4-FFF2-40B4-BE49-F238E27FC236}">
              <a16:creationId xmlns:a16="http://schemas.microsoft.com/office/drawing/2014/main" id="{FE2BDCCF-3648-44BC-997E-A68746FDBE22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348" name="Text Box 741">
          <a:extLst>
            <a:ext uri="{FF2B5EF4-FFF2-40B4-BE49-F238E27FC236}">
              <a16:creationId xmlns:a16="http://schemas.microsoft.com/office/drawing/2014/main" id="{5FA61B4C-5A09-4271-B939-4256310DBFAC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349" name="Text Box 742">
          <a:extLst>
            <a:ext uri="{FF2B5EF4-FFF2-40B4-BE49-F238E27FC236}">
              <a16:creationId xmlns:a16="http://schemas.microsoft.com/office/drawing/2014/main" id="{BC6B00E8-C4AD-4885-AEEE-7F203E0EADF6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350" name="Text Box 743">
          <a:extLst>
            <a:ext uri="{FF2B5EF4-FFF2-40B4-BE49-F238E27FC236}">
              <a16:creationId xmlns:a16="http://schemas.microsoft.com/office/drawing/2014/main" id="{A1C7CB6A-8516-48B4-A4B6-50AE0DE0F70D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351" name="Text Box 744">
          <a:extLst>
            <a:ext uri="{FF2B5EF4-FFF2-40B4-BE49-F238E27FC236}">
              <a16:creationId xmlns:a16="http://schemas.microsoft.com/office/drawing/2014/main" id="{3180D79D-3B42-4195-94CB-2650872D757F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352" name="Text Box 745">
          <a:extLst>
            <a:ext uri="{FF2B5EF4-FFF2-40B4-BE49-F238E27FC236}">
              <a16:creationId xmlns:a16="http://schemas.microsoft.com/office/drawing/2014/main" id="{A87E0202-417F-40C4-8E75-304743B140A2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353" name="Text Box 746">
          <a:extLst>
            <a:ext uri="{FF2B5EF4-FFF2-40B4-BE49-F238E27FC236}">
              <a16:creationId xmlns:a16="http://schemas.microsoft.com/office/drawing/2014/main" id="{931BC37A-ABA4-46CF-B3A8-661E8A484D7E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354" name="Text Box 747">
          <a:extLst>
            <a:ext uri="{FF2B5EF4-FFF2-40B4-BE49-F238E27FC236}">
              <a16:creationId xmlns:a16="http://schemas.microsoft.com/office/drawing/2014/main" id="{0E96CA38-8A49-4036-9C60-D42121012A16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355" name="Text Box 748">
          <a:extLst>
            <a:ext uri="{FF2B5EF4-FFF2-40B4-BE49-F238E27FC236}">
              <a16:creationId xmlns:a16="http://schemas.microsoft.com/office/drawing/2014/main" id="{6D723C49-0BA1-4A20-9902-FCB4D2576336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356" name="Text Box 749">
          <a:extLst>
            <a:ext uri="{FF2B5EF4-FFF2-40B4-BE49-F238E27FC236}">
              <a16:creationId xmlns:a16="http://schemas.microsoft.com/office/drawing/2014/main" id="{06D38CC6-9205-4965-9D60-4150A17B487C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357" name="Text Box 750">
          <a:extLst>
            <a:ext uri="{FF2B5EF4-FFF2-40B4-BE49-F238E27FC236}">
              <a16:creationId xmlns:a16="http://schemas.microsoft.com/office/drawing/2014/main" id="{1CFB39FD-4FB5-4E6F-85E1-AA1F4D687FDB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358" name="Text Box 751">
          <a:extLst>
            <a:ext uri="{FF2B5EF4-FFF2-40B4-BE49-F238E27FC236}">
              <a16:creationId xmlns:a16="http://schemas.microsoft.com/office/drawing/2014/main" id="{0080E3C2-219E-4F55-B941-B0BC9CD02D91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359" name="Text Box 752">
          <a:extLst>
            <a:ext uri="{FF2B5EF4-FFF2-40B4-BE49-F238E27FC236}">
              <a16:creationId xmlns:a16="http://schemas.microsoft.com/office/drawing/2014/main" id="{10F6419F-8201-4BD9-8E6B-7827EBC66BA2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360" name="Text Box 753">
          <a:extLst>
            <a:ext uri="{FF2B5EF4-FFF2-40B4-BE49-F238E27FC236}">
              <a16:creationId xmlns:a16="http://schemas.microsoft.com/office/drawing/2014/main" id="{1CDA9B62-DF00-40E8-947B-486300BC5431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361" name="Text Box 754">
          <a:extLst>
            <a:ext uri="{FF2B5EF4-FFF2-40B4-BE49-F238E27FC236}">
              <a16:creationId xmlns:a16="http://schemas.microsoft.com/office/drawing/2014/main" id="{D812FD8E-1857-4DA4-AF0E-64C485AA274A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362" name="Text Box 755">
          <a:extLst>
            <a:ext uri="{FF2B5EF4-FFF2-40B4-BE49-F238E27FC236}">
              <a16:creationId xmlns:a16="http://schemas.microsoft.com/office/drawing/2014/main" id="{8DB91A4B-B986-45C0-BE4F-63266AA44D6F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363" name="Text Box 756">
          <a:extLst>
            <a:ext uri="{FF2B5EF4-FFF2-40B4-BE49-F238E27FC236}">
              <a16:creationId xmlns:a16="http://schemas.microsoft.com/office/drawing/2014/main" id="{918A08D8-092F-4DE4-A617-9A5AD0AB65C3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364" name="Text Box 757">
          <a:extLst>
            <a:ext uri="{FF2B5EF4-FFF2-40B4-BE49-F238E27FC236}">
              <a16:creationId xmlns:a16="http://schemas.microsoft.com/office/drawing/2014/main" id="{8F88C35B-EA91-4984-BAB6-F177DD80940F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365" name="Text Box 758">
          <a:extLst>
            <a:ext uri="{FF2B5EF4-FFF2-40B4-BE49-F238E27FC236}">
              <a16:creationId xmlns:a16="http://schemas.microsoft.com/office/drawing/2014/main" id="{B03CF42A-462B-4510-BACC-6923ED1C6CF4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366" name="Text Box 759">
          <a:extLst>
            <a:ext uri="{FF2B5EF4-FFF2-40B4-BE49-F238E27FC236}">
              <a16:creationId xmlns:a16="http://schemas.microsoft.com/office/drawing/2014/main" id="{1F873F81-0B84-42A2-91CD-81EBAF4EB59C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367" name="Text Box 760">
          <a:extLst>
            <a:ext uri="{FF2B5EF4-FFF2-40B4-BE49-F238E27FC236}">
              <a16:creationId xmlns:a16="http://schemas.microsoft.com/office/drawing/2014/main" id="{11143EB9-E36A-4D69-BDDB-7C268DBBBFA5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368" name="Text Box 761">
          <a:extLst>
            <a:ext uri="{FF2B5EF4-FFF2-40B4-BE49-F238E27FC236}">
              <a16:creationId xmlns:a16="http://schemas.microsoft.com/office/drawing/2014/main" id="{865A4B81-49E8-41C3-8C69-D2F815B40E0E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369" name="Text Box 762">
          <a:extLst>
            <a:ext uri="{FF2B5EF4-FFF2-40B4-BE49-F238E27FC236}">
              <a16:creationId xmlns:a16="http://schemas.microsoft.com/office/drawing/2014/main" id="{242857F6-6E91-47A4-9B56-A7A69EDF81C5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370" name="Text Box 763">
          <a:extLst>
            <a:ext uri="{FF2B5EF4-FFF2-40B4-BE49-F238E27FC236}">
              <a16:creationId xmlns:a16="http://schemas.microsoft.com/office/drawing/2014/main" id="{ED49E185-9A49-4A1A-BAE1-BA368E2E319E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371" name="Text Box 764">
          <a:extLst>
            <a:ext uri="{FF2B5EF4-FFF2-40B4-BE49-F238E27FC236}">
              <a16:creationId xmlns:a16="http://schemas.microsoft.com/office/drawing/2014/main" id="{A6B04D14-E848-4BF3-B777-E2B7CB85C82C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372" name="Text Box 765">
          <a:extLst>
            <a:ext uri="{FF2B5EF4-FFF2-40B4-BE49-F238E27FC236}">
              <a16:creationId xmlns:a16="http://schemas.microsoft.com/office/drawing/2014/main" id="{69F0C2F4-FF93-445E-9B8C-99749C191978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373" name="Text Box 766">
          <a:extLst>
            <a:ext uri="{FF2B5EF4-FFF2-40B4-BE49-F238E27FC236}">
              <a16:creationId xmlns:a16="http://schemas.microsoft.com/office/drawing/2014/main" id="{5AAC3095-2E48-4378-8F88-BAC6C476C36B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374" name="Text Box 767">
          <a:extLst>
            <a:ext uri="{FF2B5EF4-FFF2-40B4-BE49-F238E27FC236}">
              <a16:creationId xmlns:a16="http://schemas.microsoft.com/office/drawing/2014/main" id="{73FEFA60-18DD-40C8-9BA2-22667E461467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375" name="Text Box 768">
          <a:extLst>
            <a:ext uri="{FF2B5EF4-FFF2-40B4-BE49-F238E27FC236}">
              <a16:creationId xmlns:a16="http://schemas.microsoft.com/office/drawing/2014/main" id="{F50D71EF-58BB-43CD-B643-D5A245CD8232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376" name="Text Box 769">
          <a:extLst>
            <a:ext uri="{FF2B5EF4-FFF2-40B4-BE49-F238E27FC236}">
              <a16:creationId xmlns:a16="http://schemas.microsoft.com/office/drawing/2014/main" id="{BCC66583-2653-47C6-A772-924BAF777CAD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377" name="Text Box 770">
          <a:extLst>
            <a:ext uri="{FF2B5EF4-FFF2-40B4-BE49-F238E27FC236}">
              <a16:creationId xmlns:a16="http://schemas.microsoft.com/office/drawing/2014/main" id="{8D2E8842-2552-4B5D-AC64-F5A72442C088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378" name="Text Box 771">
          <a:extLst>
            <a:ext uri="{FF2B5EF4-FFF2-40B4-BE49-F238E27FC236}">
              <a16:creationId xmlns:a16="http://schemas.microsoft.com/office/drawing/2014/main" id="{7499DA9F-2519-4B8A-8691-6002044475E3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379" name="Text Box 772">
          <a:extLst>
            <a:ext uri="{FF2B5EF4-FFF2-40B4-BE49-F238E27FC236}">
              <a16:creationId xmlns:a16="http://schemas.microsoft.com/office/drawing/2014/main" id="{F571CF21-195E-4AA0-821E-5819FF56F1B9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380" name="Text Box 773">
          <a:extLst>
            <a:ext uri="{FF2B5EF4-FFF2-40B4-BE49-F238E27FC236}">
              <a16:creationId xmlns:a16="http://schemas.microsoft.com/office/drawing/2014/main" id="{CCE934A9-8EC0-454A-AFAE-80F6333F5F5C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381" name="Text Box 774">
          <a:extLst>
            <a:ext uri="{FF2B5EF4-FFF2-40B4-BE49-F238E27FC236}">
              <a16:creationId xmlns:a16="http://schemas.microsoft.com/office/drawing/2014/main" id="{74108739-854D-4269-8B8B-1CC03EF3D493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382" name="Text Box 775">
          <a:extLst>
            <a:ext uri="{FF2B5EF4-FFF2-40B4-BE49-F238E27FC236}">
              <a16:creationId xmlns:a16="http://schemas.microsoft.com/office/drawing/2014/main" id="{60EA60FD-2729-43EE-A2A2-86E234E39F32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383" name="Text Box 776">
          <a:extLst>
            <a:ext uri="{FF2B5EF4-FFF2-40B4-BE49-F238E27FC236}">
              <a16:creationId xmlns:a16="http://schemas.microsoft.com/office/drawing/2014/main" id="{2470F53F-2104-4E61-9B63-AFC1B4DCC223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48</xdr:col>
      <xdr:colOff>0</xdr:colOff>
      <xdr:row>133</xdr:row>
      <xdr:rowOff>0</xdr:rowOff>
    </xdr:from>
    <xdr:to>
      <xdr:col>49</xdr:col>
      <xdr:colOff>323850</xdr:colOff>
      <xdr:row>134</xdr:row>
      <xdr:rowOff>0</xdr:rowOff>
    </xdr:to>
    <xdr:sp macro="" textlink="">
      <xdr:nvSpPr>
        <xdr:cNvPr id="3384" name="Text Box 777">
          <a:extLst>
            <a:ext uri="{FF2B5EF4-FFF2-40B4-BE49-F238E27FC236}">
              <a16:creationId xmlns:a16="http://schemas.microsoft.com/office/drawing/2014/main" id="{2DD147C0-2582-4093-A36D-8AFBAF831041}"/>
            </a:ext>
          </a:extLst>
        </xdr:cNvPr>
        <xdr:cNvSpPr>
          <a:spLocks noChangeArrowheads="1"/>
        </xdr:cNvSpPr>
      </xdr:nvSpPr>
      <xdr:spPr bwMode="auto">
        <a:xfrm>
          <a:off x="21678900" y="69361050"/>
          <a:ext cx="16954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385" name="Text Box 693">
          <a:extLst>
            <a:ext uri="{FF2B5EF4-FFF2-40B4-BE49-F238E27FC236}">
              <a16:creationId xmlns:a16="http://schemas.microsoft.com/office/drawing/2014/main" id="{318AEBBA-B4E1-4EB3-9903-6BE23ECFA9BF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386" name="Text Box 694">
          <a:extLst>
            <a:ext uri="{FF2B5EF4-FFF2-40B4-BE49-F238E27FC236}">
              <a16:creationId xmlns:a16="http://schemas.microsoft.com/office/drawing/2014/main" id="{3234F24A-06F3-462E-AE3E-7F1DD7D697B3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387" name="Text Box 695">
          <a:extLst>
            <a:ext uri="{FF2B5EF4-FFF2-40B4-BE49-F238E27FC236}">
              <a16:creationId xmlns:a16="http://schemas.microsoft.com/office/drawing/2014/main" id="{1C2FFD05-4A63-4902-828F-8198F912E72F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388" name="Text Box 696">
          <a:extLst>
            <a:ext uri="{FF2B5EF4-FFF2-40B4-BE49-F238E27FC236}">
              <a16:creationId xmlns:a16="http://schemas.microsoft.com/office/drawing/2014/main" id="{2C087112-310F-42BB-B2C5-AD284D6E2C70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389" name="Text Box 697">
          <a:extLst>
            <a:ext uri="{FF2B5EF4-FFF2-40B4-BE49-F238E27FC236}">
              <a16:creationId xmlns:a16="http://schemas.microsoft.com/office/drawing/2014/main" id="{79B4808A-5F84-415D-8E12-C27164879B0B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390" name="Text Box 698">
          <a:extLst>
            <a:ext uri="{FF2B5EF4-FFF2-40B4-BE49-F238E27FC236}">
              <a16:creationId xmlns:a16="http://schemas.microsoft.com/office/drawing/2014/main" id="{F648A733-FF13-45D3-8E82-12F2B2DA6F25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391" name="Text Box 699">
          <a:extLst>
            <a:ext uri="{FF2B5EF4-FFF2-40B4-BE49-F238E27FC236}">
              <a16:creationId xmlns:a16="http://schemas.microsoft.com/office/drawing/2014/main" id="{D94F0CE8-9DFF-4558-9999-46A4C47509C5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392" name="Text Box 700">
          <a:extLst>
            <a:ext uri="{FF2B5EF4-FFF2-40B4-BE49-F238E27FC236}">
              <a16:creationId xmlns:a16="http://schemas.microsoft.com/office/drawing/2014/main" id="{100CE9D0-5880-49DD-BDBD-349A95EAC93F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393" name="Text Box 701">
          <a:extLst>
            <a:ext uri="{FF2B5EF4-FFF2-40B4-BE49-F238E27FC236}">
              <a16:creationId xmlns:a16="http://schemas.microsoft.com/office/drawing/2014/main" id="{CC6115BB-6AF0-4A1D-AE9B-7D59BEC8C6B5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394" name="Text Box 702">
          <a:extLst>
            <a:ext uri="{FF2B5EF4-FFF2-40B4-BE49-F238E27FC236}">
              <a16:creationId xmlns:a16="http://schemas.microsoft.com/office/drawing/2014/main" id="{5971E268-9E35-408F-AF68-44A8D48BD9BD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395" name="Text Box 703">
          <a:extLst>
            <a:ext uri="{FF2B5EF4-FFF2-40B4-BE49-F238E27FC236}">
              <a16:creationId xmlns:a16="http://schemas.microsoft.com/office/drawing/2014/main" id="{B8F71020-E6F7-4FA0-9763-FDF714043305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396" name="Text Box 704">
          <a:extLst>
            <a:ext uri="{FF2B5EF4-FFF2-40B4-BE49-F238E27FC236}">
              <a16:creationId xmlns:a16="http://schemas.microsoft.com/office/drawing/2014/main" id="{F3E90B2B-8A63-45BF-82ED-792AC7C9DA3A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397" name="Text Box 705">
          <a:extLst>
            <a:ext uri="{FF2B5EF4-FFF2-40B4-BE49-F238E27FC236}">
              <a16:creationId xmlns:a16="http://schemas.microsoft.com/office/drawing/2014/main" id="{3A430A71-75BE-46B2-BB4A-3B8DFF3F79BD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398" name="Text Box 706">
          <a:extLst>
            <a:ext uri="{FF2B5EF4-FFF2-40B4-BE49-F238E27FC236}">
              <a16:creationId xmlns:a16="http://schemas.microsoft.com/office/drawing/2014/main" id="{C94665B2-645E-45AD-A088-58182872BA27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399" name="Text Box 707">
          <a:extLst>
            <a:ext uri="{FF2B5EF4-FFF2-40B4-BE49-F238E27FC236}">
              <a16:creationId xmlns:a16="http://schemas.microsoft.com/office/drawing/2014/main" id="{AC36A15D-0048-4F56-B86B-DEF6028051E2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00" name="Text Box 708">
          <a:extLst>
            <a:ext uri="{FF2B5EF4-FFF2-40B4-BE49-F238E27FC236}">
              <a16:creationId xmlns:a16="http://schemas.microsoft.com/office/drawing/2014/main" id="{CB732795-525D-4AAC-A168-ACE7F4BC1D83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01" name="Text Box 709">
          <a:extLst>
            <a:ext uri="{FF2B5EF4-FFF2-40B4-BE49-F238E27FC236}">
              <a16:creationId xmlns:a16="http://schemas.microsoft.com/office/drawing/2014/main" id="{C63E3D9A-53DD-45F3-8ACF-1726426AC7DB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02" name="Text Box 710">
          <a:extLst>
            <a:ext uri="{FF2B5EF4-FFF2-40B4-BE49-F238E27FC236}">
              <a16:creationId xmlns:a16="http://schemas.microsoft.com/office/drawing/2014/main" id="{0B8F9249-18A6-48F1-8133-2AA199EFE65C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03" name="Text Box 711">
          <a:extLst>
            <a:ext uri="{FF2B5EF4-FFF2-40B4-BE49-F238E27FC236}">
              <a16:creationId xmlns:a16="http://schemas.microsoft.com/office/drawing/2014/main" id="{711C5556-EDE1-419B-9E61-3A44E61CFADC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04" name="Text Box 712">
          <a:extLst>
            <a:ext uri="{FF2B5EF4-FFF2-40B4-BE49-F238E27FC236}">
              <a16:creationId xmlns:a16="http://schemas.microsoft.com/office/drawing/2014/main" id="{C164DB88-25FE-497E-81E6-A9D6F27739B6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05" name="Text Box 713">
          <a:extLst>
            <a:ext uri="{FF2B5EF4-FFF2-40B4-BE49-F238E27FC236}">
              <a16:creationId xmlns:a16="http://schemas.microsoft.com/office/drawing/2014/main" id="{6AF2ADD4-7736-4E60-904A-EC2E33569D5D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06" name="Text Box 714">
          <a:extLst>
            <a:ext uri="{FF2B5EF4-FFF2-40B4-BE49-F238E27FC236}">
              <a16:creationId xmlns:a16="http://schemas.microsoft.com/office/drawing/2014/main" id="{29A52CBB-8459-4254-BE73-1E4CD91EC747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07" name="Text Box 715">
          <a:extLst>
            <a:ext uri="{FF2B5EF4-FFF2-40B4-BE49-F238E27FC236}">
              <a16:creationId xmlns:a16="http://schemas.microsoft.com/office/drawing/2014/main" id="{3BDA876D-389A-49B1-B9CC-1B64117B08B8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08" name="Text Box 716">
          <a:extLst>
            <a:ext uri="{FF2B5EF4-FFF2-40B4-BE49-F238E27FC236}">
              <a16:creationId xmlns:a16="http://schemas.microsoft.com/office/drawing/2014/main" id="{BB3C4F63-8D50-46D6-95AA-6730E9B724E7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09" name="Text Box 717">
          <a:extLst>
            <a:ext uri="{FF2B5EF4-FFF2-40B4-BE49-F238E27FC236}">
              <a16:creationId xmlns:a16="http://schemas.microsoft.com/office/drawing/2014/main" id="{0CBE7BA4-F442-47BB-971C-E5AEF0F4775D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10" name="Text Box 718">
          <a:extLst>
            <a:ext uri="{FF2B5EF4-FFF2-40B4-BE49-F238E27FC236}">
              <a16:creationId xmlns:a16="http://schemas.microsoft.com/office/drawing/2014/main" id="{1321EA0B-6E4B-457D-A58A-94333B79CB86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11" name="Text Box 719">
          <a:extLst>
            <a:ext uri="{FF2B5EF4-FFF2-40B4-BE49-F238E27FC236}">
              <a16:creationId xmlns:a16="http://schemas.microsoft.com/office/drawing/2014/main" id="{112E541C-2D56-47FE-824A-901BEE218876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12" name="Text Box 720">
          <a:extLst>
            <a:ext uri="{FF2B5EF4-FFF2-40B4-BE49-F238E27FC236}">
              <a16:creationId xmlns:a16="http://schemas.microsoft.com/office/drawing/2014/main" id="{CF92B1A0-09A9-4AD0-897F-B703ABDD3FA9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13" name="Text Box 721">
          <a:extLst>
            <a:ext uri="{FF2B5EF4-FFF2-40B4-BE49-F238E27FC236}">
              <a16:creationId xmlns:a16="http://schemas.microsoft.com/office/drawing/2014/main" id="{A11C5D58-8D96-48B9-A67D-B8BC98FC1362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14" name="Text Box 722">
          <a:extLst>
            <a:ext uri="{FF2B5EF4-FFF2-40B4-BE49-F238E27FC236}">
              <a16:creationId xmlns:a16="http://schemas.microsoft.com/office/drawing/2014/main" id="{A4C9B2BA-7FF8-44A7-AE93-B3B757186B64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15" name="Text Box 723">
          <a:extLst>
            <a:ext uri="{FF2B5EF4-FFF2-40B4-BE49-F238E27FC236}">
              <a16:creationId xmlns:a16="http://schemas.microsoft.com/office/drawing/2014/main" id="{21B3CDC9-826C-4AF1-9F69-77005E0DA37A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16" name="Text Box 724">
          <a:extLst>
            <a:ext uri="{FF2B5EF4-FFF2-40B4-BE49-F238E27FC236}">
              <a16:creationId xmlns:a16="http://schemas.microsoft.com/office/drawing/2014/main" id="{EA4C27F7-C2C1-4458-9F6D-D3C1212C5F96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17" name="Text Box 725">
          <a:extLst>
            <a:ext uri="{FF2B5EF4-FFF2-40B4-BE49-F238E27FC236}">
              <a16:creationId xmlns:a16="http://schemas.microsoft.com/office/drawing/2014/main" id="{A67614D1-7F4A-42C4-A28B-06A7CB2EE808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18" name="Text Box 726">
          <a:extLst>
            <a:ext uri="{FF2B5EF4-FFF2-40B4-BE49-F238E27FC236}">
              <a16:creationId xmlns:a16="http://schemas.microsoft.com/office/drawing/2014/main" id="{7E94B868-FD25-44E7-BF49-5AAE9194BA7E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19" name="Text Box 727">
          <a:extLst>
            <a:ext uri="{FF2B5EF4-FFF2-40B4-BE49-F238E27FC236}">
              <a16:creationId xmlns:a16="http://schemas.microsoft.com/office/drawing/2014/main" id="{5900C3E4-A454-4B8C-84B0-9DE9BE4505F8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20" name="Text Box 728">
          <a:extLst>
            <a:ext uri="{FF2B5EF4-FFF2-40B4-BE49-F238E27FC236}">
              <a16:creationId xmlns:a16="http://schemas.microsoft.com/office/drawing/2014/main" id="{BE6AF908-374A-4371-B09D-28B087B18815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21" name="Text Box 729">
          <a:extLst>
            <a:ext uri="{FF2B5EF4-FFF2-40B4-BE49-F238E27FC236}">
              <a16:creationId xmlns:a16="http://schemas.microsoft.com/office/drawing/2014/main" id="{4C507BA0-1DA2-4F40-BDF9-393675B41489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22" name="Text Box 730">
          <a:extLst>
            <a:ext uri="{FF2B5EF4-FFF2-40B4-BE49-F238E27FC236}">
              <a16:creationId xmlns:a16="http://schemas.microsoft.com/office/drawing/2014/main" id="{A208067C-67C0-475E-A3EA-3DC9B70022B5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23" name="Text Box 731">
          <a:extLst>
            <a:ext uri="{FF2B5EF4-FFF2-40B4-BE49-F238E27FC236}">
              <a16:creationId xmlns:a16="http://schemas.microsoft.com/office/drawing/2014/main" id="{F25898FF-4917-4445-920B-E001316D343F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24" name="Text Box 732">
          <a:extLst>
            <a:ext uri="{FF2B5EF4-FFF2-40B4-BE49-F238E27FC236}">
              <a16:creationId xmlns:a16="http://schemas.microsoft.com/office/drawing/2014/main" id="{33E6C2AD-647D-409E-B11A-CAA0D7C79286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25" name="Text Box 733">
          <a:extLst>
            <a:ext uri="{FF2B5EF4-FFF2-40B4-BE49-F238E27FC236}">
              <a16:creationId xmlns:a16="http://schemas.microsoft.com/office/drawing/2014/main" id="{C243E813-A499-42BD-A116-73A4D560A47C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26" name="Text Box 734">
          <a:extLst>
            <a:ext uri="{FF2B5EF4-FFF2-40B4-BE49-F238E27FC236}">
              <a16:creationId xmlns:a16="http://schemas.microsoft.com/office/drawing/2014/main" id="{92DF81A0-FE08-4FEC-BFDF-BEC958149470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27" name="Text Box 735">
          <a:extLst>
            <a:ext uri="{FF2B5EF4-FFF2-40B4-BE49-F238E27FC236}">
              <a16:creationId xmlns:a16="http://schemas.microsoft.com/office/drawing/2014/main" id="{20BF45DF-70A3-42F0-B784-F9E2D8BC6331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28" name="Text Box 736">
          <a:extLst>
            <a:ext uri="{FF2B5EF4-FFF2-40B4-BE49-F238E27FC236}">
              <a16:creationId xmlns:a16="http://schemas.microsoft.com/office/drawing/2014/main" id="{9D1CF970-E619-4CF2-9F89-35015FDB3606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29" name="Text Box 737">
          <a:extLst>
            <a:ext uri="{FF2B5EF4-FFF2-40B4-BE49-F238E27FC236}">
              <a16:creationId xmlns:a16="http://schemas.microsoft.com/office/drawing/2014/main" id="{6C50BC81-53FA-429D-9523-47F09147DA44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30" name="Text Box 738">
          <a:extLst>
            <a:ext uri="{FF2B5EF4-FFF2-40B4-BE49-F238E27FC236}">
              <a16:creationId xmlns:a16="http://schemas.microsoft.com/office/drawing/2014/main" id="{98FDA5CF-5788-4834-9631-EDD12D07F8A1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31" name="Text Box 739">
          <a:extLst>
            <a:ext uri="{FF2B5EF4-FFF2-40B4-BE49-F238E27FC236}">
              <a16:creationId xmlns:a16="http://schemas.microsoft.com/office/drawing/2014/main" id="{D54E8AE6-1AAA-4419-A8C5-12EB965AEF0C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32" name="Text Box 740">
          <a:extLst>
            <a:ext uri="{FF2B5EF4-FFF2-40B4-BE49-F238E27FC236}">
              <a16:creationId xmlns:a16="http://schemas.microsoft.com/office/drawing/2014/main" id="{107149C5-B20F-4DE9-AD30-41A2D39B9783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33" name="Text Box 741">
          <a:extLst>
            <a:ext uri="{FF2B5EF4-FFF2-40B4-BE49-F238E27FC236}">
              <a16:creationId xmlns:a16="http://schemas.microsoft.com/office/drawing/2014/main" id="{37E24407-783C-4663-A3EF-CA6B3213658E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34" name="Text Box 742">
          <a:extLst>
            <a:ext uri="{FF2B5EF4-FFF2-40B4-BE49-F238E27FC236}">
              <a16:creationId xmlns:a16="http://schemas.microsoft.com/office/drawing/2014/main" id="{9B8F205D-3424-4EC2-91FF-FA925FE8C359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35" name="Text Box 743">
          <a:extLst>
            <a:ext uri="{FF2B5EF4-FFF2-40B4-BE49-F238E27FC236}">
              <a16:creationId xmlns:a16="http://schemas.microsoft.com/office/drawing/2014/main" id="{A61BD8FD-321B-41F0-BC92-4B9472083CC8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36" name="Text Box 744">
          <a:extLst>
            <a:ext uri="{FF2B5EF4-FFF2-40B4-BE49-F238E27FC236}">
              <a16:creationId xmlns:a16="http://schemas.microsoft.com/office/drawing/2014/main" id="{6AABBD01-14E2-4C92-8720-831DD9A4BC43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37" name="Text Box 745">
          <a:extLst>
            <a:ext uri="{FF2B5EF4-FFF2-40B4-BE49-F238E27FC236}">
              <a16:creationId xmlns:a16="http://schemas.microsoft.com/office/drawing/2014/main" id="{A4B63C46-DB67-4E9D-A4BF-3ED4174630B7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38" name="Text Box 746">
          <a:extLst>
            <a:ext uri="{FF2B5EF4-FFF2-40B4-BE49-F238E27FC236}">
              <a16:creationId xmlns:a16="http://schemas.microsoft.com/office/drawing/2014/main" id="{57C6495F-EA1D-4A64-957E-987D6133EF64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39" name="Text Box 747">
          <a:extLst>
            <a:ext uri="{FF2B5EF4-FFF2-40B4-BE49-F238E27FC236}">
              <a16:creationId xmlns:a16="http://schemas.microsoft.com/office/drawing/2014/main" id="{02FA53FD-9A5E-47C7-9BC1-A57F235D21FE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40" name="Text Box 748">
          <a:extLst>
            <a:ext uri="{FF2B5EF4-FFF2-40B4-BE49-F238E27FC236}">
              <a16:creationId xmlns:a16="http://schemas.microsoft.com/office/drawing/2014/main" id="{134F0DDD-A13E-4102-B043-99BAB72110F7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41" name="Text Box 749">
          <a:extLst>
            <a:ext uri="{FF2B5EF4-FFF2-40B4-BE49-F238E27FC236}">
              <a16:creationId xmlns:a16="http://schemas.microsoft.com/office/drawing/2014/main" id="{DEDC6CF7-7A49-4478-869A-9D5EB53A2C9B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42" name="Text Box 750">
          <a:extLst>
            <a:ext uri="{FF2B5EF4-FFF2-40B4-BE49-F238E27FC236}">
              <a16:creationId xmlns:a16="http://schemas.microsoft.com/office/drawing/2014/main" id="{EA49E2D1-45FA-4375-94EE-95C8B0C11658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43" name="Text Box 751">
          <a:extLst>
            <a:ext uri="{FF2B5EF4-FFF2-40B4-BE49-F238E27FC236}">
              <a16:creationId xmlns:a16="http://schemas.microsoft.com/office/drawing/2014/main" id="{CC6F8114-7AA5-466C-8B23-AFE85D3AF791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44" name="Text Box 752">
          <a:extLst>
            <a:ext uri="{FF2B5EF4-FFF2-40B4-BE49-F238E27FC236}">
              <a16:creationId xmlns:a16="http://schemas.microsoft.com/office/drawing/2014/main" id="{561BF812-8341-4111-B7B4-F2D2EB6B3433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45" name="Text Box 753">
          <a:extLst>
            <a:ext uri="{FF2B5EF4-FFF2-40B4-BE49-F238E27FC236}">
              <a16:creationId xmlns:a16="http://schemas.microsoft.com/office/drawing/2014/main" id="{BAB18AA9-C516-4E49-BDF5-E95C58FA242B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46" name="Text Box 754">
          <a:extLst>
            <a:ext uri="{FF2B5EF4-FFF2-40B4-BE49-F238E27FC236}">
              <a16:creationId xmlns:a16="http://schemas.microsoft.com/office/drawing/2014/main" id="{D39A7D69-2F2F-4FF9-A85C-B52C73DC93D4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47" name="Text Box 755">
          <a:extLst>
            <a:ext uri="{FF2B5EF4-FFF2-40B4-BE49-F238E27FC236}">
              <a16:creationId xmlns:a16="http://schemas.microsoft.com/office/drawing/2014/main" id="{483BA5F4-5E02-43C8-A1C0-365EF54F7CA2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48" name="Text Box 756">
          <a:extLst>
            <a:ext uri="{FF2B5EF4-FFF2-40B4-BE49-F238E27FC236}">
              <a16:creationId xmlns:a16="http://schemas.microsoft.com/office/drawing/2014/main" id="{B85F3C5C-D7F2-4000-A34F-42E8D19DAF3F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49" name="Text Box 757">
          <a:extLst>
            <a:ext uri="{FF2B5EF4-FFF2-40B4-BE49-F238E27FC236}">
              <a16:creationId xmlns:a16="http://schemas.microsoft.com/office/drawing/2014/main" id="{E8CCD0DD-C392-4537-A26D-F29CCD03A19C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50" name="Text Box 758">
          <a:extLst>
            <a:ext uri="{FF2B5EF4-FFF2-40B4-BE49-F238E27FC236}">
              <a16:creationId xmlns:a16="http://schemas.microsoft.com/office/drawing/2014/main" id="{10915C52-86EA-4C92-9F1C-513C30139219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51" name="Text Box 759">
          <a:extLst>
            <a:ext uri="{FF2B5EF4-FFF2-40B4-BE49-F238E27FC236}">
              <a16:creationId xmlns:a16="http://schemas.microsoft.com/office/drawing/2014/main" id="{FBA9F07D-074E-49BF-B787-6FDE86031DA3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52" name="Text Box 760">
          <a:extLst>
            <a:ext uri="{FF2B5EF4-FFF2-40B4-BE49-F238E27FC236}">
              <a16:creationId xmlns:a16="http://schemas.microsoft.com/office/drawing/2014/main" id="{86B2A3A8-548D-4F74-89D7-1EBFCAFA5B8A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53" name="Text Box 761">
          <a:extLst>
            <a:ext uri="{FF2B5EF4-FFF2-40B4-BE49-F238E27FC236}">
              <a16:creationId xmlns:a16="http://schemas.microsoft.com/office/drawing/2014/main" id="{AC43AF51-ACE9-441D-A5A0-268819525BE3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54" name="Text Box 762">
          <a:extLst>
            <a:ext uri="{FF2B5EF4-FFF2-40B4-BE49-F238E27FC236}">
              <a16:creationId xmlns:a16="http://schemas.microsoft.com/office/drawing/2014/main" id="{5FB68E29-DBC7-4AC4-A5A3-E5C6DBF5CCC0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55" name="Text Box 763">
          <a:extLst>
            <a:ext uri="{FF2B5EF4-FFF2-40B4-BE49-F238E27FC236}">
              <a16:creationId xmlns:a16="http://schemas.microsoft.com/office/drawing/2014/main" id="{95017D53-00BC-4673-8DDA-65A18E8CD8ED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56" name="Text Box 764">
          <a:extLst>
            <a:ext uri="{FF2B5EF4-FFF2-40B4-BE49-F238E27FC236}">
              <a16:creationId xmlns:a16="http://schemas.microsoft.com/office/drawing/2014/main" id="{A2F9BFD3-EB8E-49AA-A03B-7541CB7A1E62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57" name="Text Box 765">
          <a:extLst>
            <a:ext uri="{FF2B5EF4-FFF2-40B4-BE49-F238E27FC236}">
              <a16:creationId xmlns:a16="http://schemas.microsoft.com/office/drawing/2014/main" id="{CFD6C207-F5E6-4CEA-879D-4208C3518484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58" name="Text Box 766">
          <a:extLst>
            <a:ext uri="{FF2B5EF4-FFF2-40B4-BE49-F238E27FC236}">
              <a16:creationId xmlns:a16="http://schemas.microsoft.com/office/drawing/2014/main" id="{21D97E17-DB87-4543-A70A-C03769A29145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59" name="Text Box 767">
          <a:extLst>
            <a:ext uri="{FF2B5EF4-FFF2-40B4-BE49-F238E27FC236}">
              <a16:creationId xmlns:a16="http://schemas.microsoft.com/office/drawing/2014/main" id="{E7C18301-0BA8-452B-B0A3-2108FFFC77FF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60" name="Text Box 768">
          <a:extLst>
            <a:ext uri="{FF2B5EF4-FFF2-40B4-BE49-F238E27FC236}">
              <a16:creationId xmlns:a16="http://schemas.microsoft.com/office/drawing/2014/main" id="{2835ECAE-D92C-4413-A9E1-F12E506D972D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61" name="Text Box 769">
          <a:extLst>
            <a:ext uri="{FF2B5EF4-FFF2-40B4-BE49-F238E27FC236}">
              <a16:creationId xmlns:a16="http://schemas.microsoft.com/office/drawing/2014/main" id="{935BC75E-064B-4945-886E-92753BA33257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62" name="Text Box 770">
          <a:extLst>
            <a:ext uri="{FF2B5EF4-FFF2-40B4-BE49-F238E27FC236}">
              <a16:creationId xmlns:a16="http://schemas.microsoft.com/office/drawing/2014/main" id="{B93A5B4D-BBD3-4772-9D12-630F1BEB3147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63" name="Text Box 771">
          <a:extLst>
            <a:ext uri="{FF2B5EF4-FFF2-40B4-BE49-F238E27FC236}">
              <a16:creationId xmlns:a16="http://schemas.microsoft.com/office/drawing/2014/main" id="{A244727D-EE31-465C-B77F-FF4291A46F00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64" name="Text Box 772">
          <a:extLst>
            <a:ext uri="{FF2B5EF4-FFF2-40B4-BE49-F238E27FC236}">
              <a16:creationId xmlns:a16="http://schemas.microsoft.com/office/drawing/2014/main" id="{2F651730-C782-4BA6-930A-3607BC7DA668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65" name="Text Box 773">
          <a:extLst>
            <a:ext uri="{FF2B5EF4-FFF2-40B4-BE49-F238E27FC236}">
              <a16:creationId xmlns:a16="http://schemas.microsoft.com/office/drawing/2014/main" id="{C811FC17-D061-40BE-9723-A62464BCB8E7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66" name="Text Box 774">
          <a:extLst>
            <a:ext uri="{FF2B5EF4-FFF2-40B4-BE49-F238E27FC236}">
              <a16:creationId xmlns:a16="http://schemas.microsoft.com/office/drawing/2014/main" id="{B409C381-68D4-4055-B59F-E42F5657E0C1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67" name="Text Box 775">
          <a:extLst>
            <a:ext uri="{FF2B5EF4-FFF2-40B4-BE49-F238E27FC236}">
              <a16:creationId xmlns:a16="http://schemas.microsoft.com/office/drawing/2014/main" id="{CF0D332B-0D3C-4DC8-98CD-E2C2ED325006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68" name="Text Box 776">
          <a:extLst>
            <a:ext uri="{FF2B5EF4-FFF2-40B4-BE49-F238E27FC236}">
              <a16:creationId xmlns:a16="http://schemas.microsoft.com/office/drawing/2014/main" id="{65A55AA2-DE74-4099-A733-F978924F2180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69" name="Text Box 777">
          <a:extLst>
            <a:ext uri="{FF2B5EF4-FFF2-40B4-BE49-F238E27FC236}">
              <a16:creationId xmlns:a16="http://schemas.microsoft.com/office/drawing/2014/main" id="{47B80CF7-001A-4408-BFB7-149224F6BE96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70" name="Text Box 693">
          <a:extLst>
            <a:ext uri="{FF2B5EF4-FFF2-40B4-BE49-F238E27FC236}">
              <a16:creationId xmlns:a16="http://schemas.microsoft.com/office/drawing/2014/main" id="{7C4E1C73-24CE-4299-A289-545FF7112460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71" name="Text Box 694">
          <a:extLst>
            <a:ext uri="{FF2B5EF4-FFF2-40B4-BE49-F238E27FC236}">
              <a16:creationId xmlns:a16="http://schemas.microsoft.com/office/drawing/2014/main" id="{6933A515-5246-4CC7-99F4-7825BD898B54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72" name="Text Box 695">
          <a:extLst>
            <a:ext uri="{FF2B5EF4-FFF2-40B4-BE49-F238E27FC236}">
              <a16:creationId xmlns:a16="http://schemas.microsoft.com/office/drawing/2014/main" id="{0B026FCF-F8C6-492B-819B-31E8F64C5E5D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73" name="Text Box 696">
          <a:extLst>
            <a:ext uri="{FF2B5EF4-FFF2-40B4-BE49-F238E27FC236}">
              <a16:creationId xmlns:a16="http://schemas.microsoft.com/office/drawing/2014/main" id="{5C19CE9A-F2A0-406F-B430-1BFB8CA4952A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74" name="Text Box 697">
          <a:extLst>
            <a:ext uri="{FF2B5EF4-FFF2-40B4-BE49-F238E27FC236}">
              <a16:creationId xmlns:a16="http://schemas.microsoft.com/office/drawing/2014/main" id="{684B16B8-4B7C-4600-9F53-9525E40BA4F0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75" name="Text Box 698">
          <a:extLst>
            <a:ext uri="{FF2B5EF4-FFF2-40B4-BE49-F238E27FC236}">
              <a16:creationId xmlns:a16="http://schemas.microsoft.com/office/drawing/2014/main" id="{C963A9D4-2E49-4E4B-AEE5-F0000314C988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76" name="Text Box 699">
          <a:extLst>
            <a:ext uri="{FF2B5EF4-FFF2-40B4-BE49-F238E27FC236}">
              <a16:creationId xmlns:a16="http://schemas.microsoft.com/office/drawing/2014/main" id="{3EE23FF5-5AC5-4FBA-B7E4-56A98955CC29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77" name="Text Box 700">
          <a:extLst>
            <a:ext uri="{FF2B5EF4-FFF2-40B4-BE49-F238E27FC236}">
              <a16:creationId xmlns:a16="http://schemas.microsoft.com/office/drawing/2014/main" id="{632BA76B-E7E8-4671-A6F6-C84C31E496C9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78" name="Text Box 701">
          <a:extLst>
            <a:ext uri="{FF2B5EF4-FFF2-40B4-BE49-F238E27FC236}">
              <a16:creationId xmlns:a16="http://schemas.microsoft.com/office/drawing/2014/main" id="{B8937E83-E0D0-4007-BDE4-99CA71E3D3A6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79" name="Text Box 702">
          <a:extLst>
            <a:ext uri="{FF2B5EF4-FFF2-40B4-BE49-F238E27FC236}">
              <a16:creationId xmlns:a16="http://schemas.microsoft.com/office/drawing/2014/main" id="{109F0166-187E-4182-87EE-EF79B135582A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80" name="Text Box 703">
          <a:extLst>
            <a:ext uri="{FF2B5EF4-FFF2-40B4-BE49-F238E27FC236}">
              <a16:creationId xmlns:a16="http://schemas.microsoft.com/office/drawing/2014/main" id="{078DECC1-B174-44E3-8E99-3D74911928DE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81" name="Text Box 704">
          <a:extLst>
            <a:ext uri="{FF2B5EF4-FFF2-40B4-BE49-F238E27FC236}">
              <a16:creationId xmlns:a16="http://schemas.microsoft.com/office/drawing/2014/main" id="{0B5585A7-C503-4EFD-9FBD-AF5193CA4F03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82" name="Text Box 705">
          <a:extLst>
            <a:ext uri="{FF2B5EF4-FFF2-40B4-BE49-F238E27FC236}">
              <a16:creationId xmlns:a16="http://schemas.microsoft.com/office/drawing/2014/main" id="{0C87F13D-EA6C-4435-9B78-FFD10B97DA7E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83" name="Text Box 706">
          <a:extLst>
            <a:ext uri="{FF2B5EF4-FFF2-40B4-BE49-F238E27FC236}">
              <a16:creationId xmlns:a16="http://schemas.microsoft.com/office/drawing/2014/main" id="{B5CB4B3C-F425-4BBA-BBDC-0D6F021C0F33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84" name="Text Box 707">
          <a:extLst>
            <a:ext uri="{FF2B5EF4-FFF2-40B4-BE49-F238E27FC236}">
              <a16:creationId xmlns:a16="http://schemas.microsoft.com/office/drawing/2014/main" id="{C4355585-0E62-4989-9349-F8C984E813DF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85" name="Text Box 708">
          <a:extLst>
            <a:ext uri="{FF2B5EF4-FFF2-40B4-BE49-F238E27FC236}">
              <a16:creationId xmlns:a16="http://schemas.microsoft.com/office/drawing/2014/main" id="{CFEB9528-AACF-4413-9206-9E5ED7AE7EF3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86" name="Text Box 709">
          <a:extLst>
            <a:ext uri="{FF2B5EF4-FFF2-40B4-BE49-F238E27FC236}">
              <a16:creationId xmlns:a16="http://schemas.microsoft.com/office/drawing/2014/main" id="{2852BDC4-124E-4637-9935-535E93BF834C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87" name="Text Box 710">
          <a:extLst>
            <a:ext uri="{FF2B5EF4-FFF2-40B4-BE49-F238E27FC236}">
              <a16:creationId xmlns:a16="http://schemas.microsoft.com/office/drawing/2014/main" id="{D34DDD6F-CE45-4881-9B16-629C0910871B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88" name="Text Box 711">
          <a:extLst>
            <a:ext uri="{FF2B5EF4-FFF2-40B4-BE49-F238E27FC236}">
              <a16:creationId xmlns:a16="http://schemas.microsoft.com/office/drawing/2014/main" id="{FEF64521-33DB-468A-AABF-DEAECEE8EBA9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89" name="Text Box 712">
          <a:extLst>
            <a:ext uri="{FF2B5EF4-FFF2-40B4-BE49-F238E27FC236}">
              <a16:creationId xmlns:a16="http://schemas.microsoft.com/office/drawing/2014/main" id="{920A65A1-002A-4CB3-96BB-D94E22ED5A55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90" name="Text Box 713">
          <a:extLst>
            <a:ext uri="{FF2B5EF4-FFF2-40B4-BE49-F238E27FC236}">
              <a16:creationId xmlns:a16="http://schemas.microsoft.com/office/drawing/2014/main" id="{9ACA3129-1B8F-4167-A533-399C6F6F4FAD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91" name="Text Box 714">
          <a:extLst>
            <a:ext uri="{FF2B5EF4-FFF2-40B4-BE49-F238E27FC236}">
              <a16:creationId xmlns:a16="http://schemas.microsoft.com/office/drawing/2014/main" id="{AD5DAC71-0F72-408E-A490-64205B221CF4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92" name="Text Box 715">
          <a:extLst>
            <a:ext uri="{FF2B5EF4-FFF2-40B4-BE49-F238E27FC236}">
              <a16:creationId xmlns:a16="http://schemas.microsoft.com/office/drawing/2014/main" id="{E447E5FC-FFBB-4852-9BCE-AFBE49D01EFF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93" name="Text Box 716">
          <a:extLst>
            <a:ext uri="{FF2B5EF4-FFF2-40B4-BE49-F238E27FC236}">
              <a16:creationId xmlns:a16="http://schemas.microsoft.com/office/drawing/2014/main" id="{847CD2A1-1198-4BD2-B411-0811EE3250E3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94" name="Text Box 717">
          <a:extLst>
            <a:ext uri="{FF2B5EF4-FFF2-40B4-BE49-F238E27FC236}">
              <a16:creationId xmlns:a16="http://schemas.microsoft.com/office/drawing/2014/main" id="{B2D10D49-F49E-4CDE-9C26-30E4AF5D6411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95" name="Text Box 718">
          <a:extLst>
            <a:ext uri="{FF2B5EF4-FFF2-40B4-BE49-F238E27FC236}">
              <a16:creationId xmlns:a16="http://schemas.microsoft.com/office/drawing/2014/main" id="{E4A3042B-9F77-4CA2-9703-AC29F86EEC1F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96" name="Text Box 719">
          <a:extLst>
            <a:ext uri="{FF2B5EF4-FFF2-40B4-BE49-F238E27FC236}">
              <a16:creationId xmlns:a16="http://schemas.microsoft.com/office/drawing/2014/main" id="{777721C9-B890-4071-B0C4-C79175EB9BD9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97" name="Text Box 720">
          <a:extLst>
            <a:ext uri="{FF2B5EF4-FFF2-40B4-BE49-F238E27FC236}">
              <a16:creationId xmlns:a16="http://schemas.microsoft.com/office/drawing/2014/main" id="{12B335B2-F2CB-47CE-A1F4-7947F510A8A3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98" name="Text Box 721">
          <a:extLst>
            <a:ext uri="{FF2B5EF4-FFF2-40B4-BE49-F238E27FC236}">
              <a16:creationId xmlns:a16="http://schemas.microsoft.com/office/drawing/2014/main" id="{61C17A2B-D7BD-4B55-BA39-3CBDD391D80B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499" name="Text Box 722">
          <a:extLst>
            <a:ext uri="{FF2B5EF4-FFF2-40B4-BE49-F238E27FC236}">
              <a16:creationId xmlns:a16="http://schemas.microsoft.com/office/drawing/2014/main" id="{7BA449EF-8340-4EE8-B3B9-DA67DF84D271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00" name="Text Box 723">
          <a:extLst>
            <a:ext uri="{FF2B5EF4-FFF2-40B4-BE49-F238E27FC236}">
              <a16:creationId xmlns:a16="http://schemas.microsoft.com/office/drawing/2014/main" id="{D5E3D27C-1FE9-4D90-A505-ADBB054178AC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01" name="Text Box 724">
          <a:extLst>
            <a:ext uri="{FF2B5EF4-FFF2-40B4-BE49-F238E27FC236}">
              <a16:creationId xmlns:a16="http://schemas.microsoft.com/office/drawing/2014/main" id="{E1FEFA84-0E99-4613-812D-1CE9B0A1A6EE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02" name="Text Box 725">
          <a:extLst>
            <a:ext uri="{FF2B5EF4-FFF2-40B4-BE49-F238E27FC236}">
              <a16:creationId xmlns:a16="http://schemas.microsoft.com/office/drawing/2014/main" id="{0DD74D23-E9B7-4ED6-B2E2-11B11D51ECC7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03" name="Text Box 726">
          <a:extLst>
            <a:ext uri="{FF2B5EF4-FFF2-40B4-BE49-F238E27FC236}">
              <a16:creationId xmlns:a16="http://schemas.microsoft.com/office/drawing/2014/main" id="{97E4DE16-9B56-469A-9EA8-C2BC3B2A8CF6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04" name="Text Box 727">
          <a:extLst>
            <a:ext uri="{FF2B5EF4-FFF2-40B4-BE49-F238E27FC236}">
              <a16:creationId xmlns:a16="http://schemas.microsoft.com/office/drawing/2014/main" id="{E16C198E-3042-483B-9CD8-19EF01A7F526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05" name="Text Box 728">
          <a:extLst>
            <a:ext uri="{FF2B5EF4-FFF2-40B4-BE49-F238E27FC236}">
              <a16:creationId xmlns:a16="http://schemas.microsoft.com/office/drawing/2014/main" id="{5D8FA934-528F-426F-AD60-8D3D8044D25B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06" name="Text Box 729">
          <a:extLst>
            <a:ext uri="{FF2B5EF4-FFF2-40B4-BE49-F238E27FC236}">
              <a16:creationId xmlns:a16="http://schemas.microsoft.com/office/drawing/2014/main" id="{B1B390AA-D7B6-4F25-8F70-EF81967E498C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07" name="Text Box 730">
          <a:extLst>
            <a:ext uri="{FF2B5EF4-FFF2-40B4-BE49-F238E27FC236}">
              <a16:creationId xmlns:a16="http://schemas.microsoft.com/office/drawing/2014/main" id="{C568832A-D3A9-46E7-BE91-20BBBFED529B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08" name="Text Box 731">
          <a:extLst>
            <a:ext uri="{FF2B5EF4-FFF2-40B4-BE49-F238E27FC236}">
              <a16:creationId xmlns:a16="http://schemas.microsoft.com/office/drawing/2014/main" id="{ABFC2B4D-E236-4DD2-8428-E8F4569C1A15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09" name="Text Box 732">
          <a:extLst>
            <a:ext uri="{FF2B5EF4-FFF2-40B4-BE49-F238E27FC236}">
              <a16:creationId xmlns:a16="http://schemas.microsoft.com/office/drawing/2014/main" id="{CA5DF5C6-C4D6-4284-9FA2-28DB88ECF5D6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10" name="Text Box 733">
          <a:extLst>
            <a:ext uri="{FF2B5EF4-FFF2-40B4-BE49-F238E27FC236}">
              <a16:creationId xmlns:a16="http://schemas.microsoft.com/office/drawing/2014/main" id="{D3470396-E5AB-4BA5-BD33-75BE4FEEBAE6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11" name="Text Box 734">
          <a:extLst>
            <a:ext uri="{FF2B5EF4-FFF2-40B4-BE49-F238E27FC236}">
              <a16:creationId xmlns:a16="http://schemas.microsoft.com/office/drawing/2014/main" id="{D1112C82-38EC-4AF7-BFC9-A0968E30EFA4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12" name="Text Box 735">
          <a:extLst>
            <a:ext uri="{FF2B5EF4-FFF2-40B4-BE49-F238E27FC236}">
              <a16:creationId xmlns:a16="http://schemas.microsoft.com/office/drawing/2014/main" id="{1FCCE327-7723-4A34-8BEB-9C01CA000C1B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13" name="Text Box 736">
          <a:extLst>
            <a:ext uri="{FF2B5EF4-FFF2-40B4-BE49-F238E27FC236}">
              <a16:creationId xmlns:a16="http://schemas.microsoft.com/office/drawing/2014/main" id="{5DA42397-C86D-49C8-B916-0253FDDFBC63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14" name="Text Box 737">
          <a:extLst>
            <a:ext uri="{FF2B5EF4-FFF2-40B4-BE49-F238E27FC236}">
              <a16:creationId xmlns:a16="http://schemas.microsoft.com/office/drawing/2014/main" id="{0255159E-5DB3-4E01-91CF-24D12D3A651D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15" name="Text Box 738">
          <a:extLst>
            <a:ext uri="{FF2B5EF4-FFF2-40B4-BE49-F238E27FC236}">
              <a16:creationId xmlns:a16="http://schemas.microsoft.com/office/drawing/2014/main" id="{E3A940C1-A0D9-4EC2-8E58-5ADDF8DD66E3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16" name="Text Box 739">
          <a:extLst>
            <a:ext uri="{FF2B5EF4-FFF2-40B4-BE49-F238E27FC236}">
              <a16:creationId xmlns:a16="http://schemas.microsoft.com/office/drawing/2014/main" id="{AE8EE928-E257-4ED2-B665-FE5BA6307F0C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17" name="Text Box 740">
          <a:extLst>
            <a:ext uri="{FF2B5EF4-FFF2-40B4-BE49-F238E27FC236}">
              <a16:creationId xmlns:a16="http://schemas.microsoft.com/office/drawing/2014/main" id="{E8A1D7E6-165D-4C14-AF1D-19666A04B616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18" name="Text Box 741">
          <a:extLst>
            <a:ext uri="{FF2B5EF4-FFF2-40B4-BE49-F238E27FC236}">
              <a16:creationId xmlns:a16="http://schemas.microsoft.com/office/drawing/2014/main" id="{EC1DA54A-975F-440F-9643-93B26191FD0C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19" name="Text Box 742">
          <a:extLst>
            <a:ext uri="{FF2B5EF4-FFF2-40B4-BE49-F238E27FC236}">
              <a16:creationId xmlns:a16="http://schemas.microsoft.com/office/drawing/2014/main" id="{46B50908-8BF2-44B2-85A1-EA3B27AB64C1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20" name="Text Box 743">
          <a:extLst>
            <a:ext uri="{FF2B5EF4-FFF2-40B4-BE49-F238E27FC236}">
              <a16:creationId xmlns:a16="http://schemas.microsoft.com/office/drawing/2014/main" id="{A5E40E6F-4418-4C7D-869D-76BCEB84936C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21" name="Text Box 744">
          <a:extLst>
            <a:ext uri="{FF2B5EF4-FFF2-40B4-BE49-F238E27FC236}">
              <a16:creationId xmlns:a16="http://schemas.microsoft.com/office/drawing/2014/main" id="{14C9438D-25F1-42D6-8AC9-AF636431FE14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22" name="Text Box 745">
          <a:extLst>
            <a:ext uri="{FF2B5EF4-FFF2-40B4-BE49-F238E27FC236}">
              <a16:creationId xmlns:a16="http://schemas.microsoft.com/office/drawing/2014/main" id="{EF3FC295-BF1C-4A99-AAC8-A4CEF766B8F8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23" name="Text Box 746">
          <a:extLst>
            <a:ext uri="{FF2B5EF4-FFF2-40B4-BE49-F238E27FC236}">
              <a16:creationId xmlns:a16="http://schemas.microsoft.com/office/drawing/2014/main" id="{74503C29-A1B4-433E-8245-BA9614C16516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24" name="Text Box 747">
          <a:extLst>
            <a:ext uri="{FF2B5EF4-FFF2-40B4-BE49-F238E27FC236}">
              <a16:creationId xmlns:a16="http://schemas.microsoft.com/office/drawing/2014/main" id="{B082A1C5-5342-4891-BFE5-0EE841E6971E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25" name="Text Box 748">
          <a:extLst>
            <a:ext uri="{FF2B5EF4-FFF2-40B4-BE49-F238E27FC236}">
              <a16:creationId xmlns:a16="http://schemas.microsoft.com/office/drawing/2014/main" id="{B0700864-7525-4714-91A0-6216CFBFE184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26" name="Text Box 749">
          <a:extLst>
            <a:ext uri="{FF2B5EF4-FFF2-40B4-BE49-F238E27FC236}">
              <a16:creationId xmlns:a16="http://schemas.microsoft.com/office/drawing/2014/main" id="{6F17D7D4-8EB9-4015-BAA7-1F3854F10FA4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27" name="Text Box 750">
          <a:extLst>
            <a:ext uri="{FF2B5EF4-FFF2-40B4-BE49-F238E27FC236}">
              <a16:creationId xmlns:a16="http://schemas.microsoft.com/office/drawing/2014/main" id="{C66B10B3-E2FD-4C63-9957-5D236D114632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28" name="Text Box 751">
          <a:extLst>
            <a:ext uri="{FF2B5EF4-FFF2-40B4-BE49-F238E27FC236}">
              <a16:creationId xmlns:a16="http://schemas.microsoft.com/office/drawing/2014/main" id="{1ACFF87F-8DF4-4A4D-BB10-AB51351972FB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29" name="Text Box 752">
          <a:extLst>
            <a:ext uri="{FF2B5EF4-FFF2-40B4-BE49-F238E27FC236}">
              <a16:creationId xmlns:a16="http://schemas.microsoft.com/office/drawing/2014/main" id="{51786272-FC53-42B7-9800-3FC429F5B5F5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30" name="Text Box 753">
          <a:extLst>
            <a:ext uri="{FF2B5EF4-FFF2-40B4-BE49-F238E27FC236}">
              <a16:creationId xmlns:a16="http://schemas.microsoft.com/office/drawing/2014/main" id="{237B3F08-201C-437C-821C-BB0839F56C33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31" name="Text Box 754">
          <a:extLst>
            <a:ext uri="{FF2B5EF4-FFF2-40B4-BE49-F238E27FC236}">
              <a16:creationId xmlns:a16="http://schemas.microsoft.com/office/drawing/2014/main" id="{87437980-6487-4D8A-8431-BB2D1D96B7DB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32" name="Text Box 755">
          <a:extLst>
            <a:ext uri="{FF2B5EF4-FFF2-40B4-BE49-F238E27FC236}">
              <a16:creationId xmlns:a16="http://schemas.microsoft.com/office/drawing/2014/main" id="{2ED0790A-5BBB-4AF6-8773-FFEAAFAEB01D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33" name="Text Box 756">
          <a:extLst>
            <a:ext uri="{FF2B5EF4-FFF2-40B4-BE49-F238E27FC236}">
              <a16:creationId xmlns:a16="http://schemas.microsoft.com/office/drawing/2014/main" id="{1FD44DA9-525C-46D6-B72D-5E0ACA437363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34" name="Text Box 757">
          <a:extLst>
            <a:ext uri="{FF2B5EF4-FFF2-40B4-BE49-F238E27FC236}">
              <a16:creationId xmlns:a16="http://schemas.microsoft.com/office/drawing/2014/main" id="{5BE36877-6170-43C6-B06F-BBDC167D6C2A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35" name="Text Box 758">
          <a:extLst>
            <a:ext uri="{FF2B5EF4-FFF2-40B4-BE49-F238E27FC236}">
              <a16:creationId xmlns:a16="http://schemas.microsoft.com/office/drawing/2014/main" id="{D0C60375-FA8D-4CF8-936E-6D3F2C42D5C3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36" name="Text Box 759">
          <a:extLst>
            <a:ext uri="{FF2B5EF4-FFF2-40B4-BE49-F238E27FC236}">
              <a16:creationId xmlns:a16="http://schemas.microsoft.com/office/drawing/2014/main" id="{99A2F447-6B18-403C-B19D-75EA1BFB79F8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37" name="Text Box 760">
          <a:extLst>
            <a:ext uri="{FF2B5EF4-FFF2-40B4-BE49-F238E27FC236}">
              <a16:creationId xmlns:a16="http://schemas.microsoft.com/office/drawing/2014/main" id="{5BE23E11-277B-4AC0-BF5F-D6FED0E2E7C2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38" name="Text Box 761">
          <a:extLst>
            <a:ext uri="{FF2B5EF4-FFF2-40B4-BE49-F238E27FC236}">
              <a16:creationId xmlns:a16="http://schemas.microsoft.com/office/drawing/2014/main" id="{81FEEE70-A371-4637-BF64-65219B85B808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39" name="Text Box 762">
          <a:extLst>
            <a:ext uri="{FF2B5EF4-FFF2-40B4-BE49-F238E27FC236}">
              <a16:creationId xmlns:a16="http://schemas.microsoft.com/office/drawing/2014/main" id="{F9C6539F-D47F-4571-9B0C-B4FBFFAC53E2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40" name="Text Box 763">
          <a:extLst>
            <a:ext uri="{FF2B5EF4-FFF2-40B4-BE49-F238E27FC236}">
              <a16:creationId xmlns:a16="http://schemas.microsoft.com/office/drawing/2014/main" id="{FDE977FA-3B40-4107-A19F-CA0332695CE6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41" name="Text Box 764">
          <a:extLst>
            <a:ext uri="{FF2B5EF4-FFF2-40B4-BE49-F238E27FC236}">
              <a16:creationId xmlns:a16="http://schemas.microsoft.com/office/drawing/2014/main" id="{4B8199C8-99FF-4841-AF0A-CA6D86E8AC65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42" name="Text Box 765">
          <a:extLst>
            <a:ext uri="{FF2B5EF4-FFF2-40B4-BE49-F238E27FC236}">
              <a16:creationId xmlns:a16="http://schemas.microsoft.com/office/drawing/2014/main" id="{62E281B9-1547-4222-9220-2CDB679D6AA7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43" name="Text Box 766">
          <a:extLst>
            <a:ext uri="{FF2B5EF4-FFF2-40B4-BE49-F238E27FC236}">
              <a16:creationId xmlns:a16="http://schemas.microsoft.com/office/drawing/2014/main" id="{1F6C5419-DEEF-4E77-A348-CAE9213FAD0E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44" name="Text Box 767">
          <a:extLst>
            <a:ext uri="{FF2B5EF4-FFF2-40B4-BE49-F238E27FC236}">
              <a16:creationId xmlns:a16="http://schemas.microsoft.com/office/drawing/2014/main" id="{20A215D4-1E14-4E68-A7D1-97167BFC4503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45" name="Text Box 768">
          <a:extLst>
            <a:ext uri="{FF2B5EF4-FFF2-40B4-BE49-F238E27FC236}">
              <a16:creationId xmlns:a16="http://schemas.microsoft.com/office/drawing/2014/main" id="{1F45BA36-39AF-421A-8166-1AD8E567891D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46" name="Text Box 769">
          <a:extLst>
            <a:ext uri="{FF2B5EF4-FFF2-40B4-BE49-F238E27FC236}">
              <a16:creationId xmlns:a16="http://schemas.microsoft.com/office/drawing/2014/main" id="{CC28C283-6C67-46C0-99CA-A623B2A9B3E7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47" name="Text Box 770">
          <a:extLst>
            <a:ext uri="{FF2B5EF4-FFF2-40B4-BE49-F238E27FC236}">
              <a16:creationId xmlns:a16="http://schemas.microsoft.com/office/drawing/2014/main" id="{7071F4D7-DC81-4B7B-AD5A-9C8C4F0C128A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48" name="Text Box 771">
          <a:extLst>
            <a:ext uri="{FF2B5EF4-FFF2-40B4-BE49-F238E27FC236}">
              <a16:creationId xmlns:a16="http://schemas.microsoft.com/office/drawing/2014/main" id="{86169B5F-B0A1-4D43-8C2F-00EB5E636358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49" name="Text Box 772">
          <a:extLst>
            <a:ext uri="{FF2B5EF4-FFF2-40B4-BE49-F238E27FC236}">
              <a16:creationId xmlns:a16="http://schemas.microsoft.com/office/drawing/2014/main" id="{384A8495-B578-4B94-BA59-79888EDEA2B4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50" name="Text Box 773">
          <a:extLst>
            <a:ext uri="{FF2B5EF4-FFF2-40B4-BE49-F238E27FC236}">
              <a16:creationId xmlns:a16="http://schemas.microsoft.com/office/drawing/2014/main" id="{122EFCC7-562B-4515-8B38-E24247D51766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51" name="Text Box 774">
          <a:extLst>
            <a:ext uri="{FF2B5EF4-FFF2-40B4-BE49-F238E27FC236}">
              <a16:creationId xmlns:a16="http://schemas.microsoft.com/office/drawing/2014/main" id="{C7994451-5BB8-43E6-A372-431A1615F871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52" name="Text Box 775">
          <a:extLst>
            <a:ext uri="{FF2B5EF4-FFF2-40B4-BE49-F238E27FC236}">
              <a16:creationId xmlns:a16="http://schemas.microsoft.com/office/drawing/2014/main" id="{D814AB41-C64E-4108-B9FF-BC13CF548C29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53" name="Text Box 776">
          <a:extLst>
            <a:ext uri="{FF2B5EF4-FFF2-40B4-BE49-F238E27FC236}">
              <a16:creationId xmlns:a16="http://schemas.microsoft.com/office/drawing/2014/main" id="{720DFDDD-48E1-41A8-9234-4173369CC01B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54" name="Text Box 777">
          <a:extLst>
            <a:ext uri="{FF2B5EF4-FFF2-40B4-BE49-F238E27FC236}">
              <a16:creationId xmlns:a16="http://schemas.microsoft.com/office/drawing/2014/main" id="{8C4D0B24-31E2-44BB-8DE2-D396BA6F571E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55" name="Text Box 693">
          <a:extLst>
            <a:ext uri="{FF2B5EF4-FFF2-40B4-BE49-F238E27FC236}">
              <a16:creationId xmlns:a16="http://schemas.microsoft.com/office/drawing/2014/main" id="{46400BCE-1238-4E82-B63B-C9821F9F8A41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56" name="Text Box 694">
          <a:extLst>
            <a:ext uri="{FF2B5EF4-FFF2-40B4-BE49-F238E27FC236}">
              <a16:creationId xmlns:a16="http://schemas.microsoft.com/office/drawing/2014/main" id="{63E4E82F-BD43-424D-8169-872DC67A9C48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57" name="Text Box 695">
          <a:extLst>
            <a:ext uri="{FF2B5EF4-FFF2-40B4-BE49-F238E27FC236}">
              <a16:creationId xmlns:a16="http://schemas.microsoft.com/office/drawing/2014/main" id="{5D960104-470D-4D3B-96D9-2780FF766686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58" name="Text Box 696">
          <a:extLst>
            <a:ext uri="{FF2B5EF4-FFF2-40B4-BE49-F238E27FC236}">
              <a16:creationId xmlns:a16="http://schemas.microsoft.com/office/drawing/2014/main" id="{D4C1D5F9-3804-460D-AA7F-1C5CFAFCD41E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59" name="Text Box 697">
          <a:extLst>
            <a:ext uri="{FF2B5EF4-FFF2-40B4-BE49-F238E27FC236}">
              <a16:creationId xmlns:a16="http://schemas.microsoft.com/office/drawing/2014/main" id="{EFDF4E0E-F316-49A3-979D-7736298ED6FF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60" name="Text Box 698">
          <a:extLst>
            <a:ext uri="{FF2B5EF4-FFF2-40B4-BE49-F238E27FC236}">
              <a16:creationId xmlns:a16="http://schemas.microsoft.com/office/drawing/2014/main" id="{EC02D967-377F-4488-A9DF-908F8CDB6659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61" name="Text Box 699">
          <a:extLst>
            <a:ext uri="{FF2B5EF4-FFF2-40B4-BE49-F238E27FC236}">
              <a16:creationId xmlns:a16="http://schemas.microsoft.com/office/drawing/2014/main" id="{F14610DB-5454-4E5C-9191-766C42DAFF75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62" name="Text Box 700">
          <a:extLst>
            <a:ext uri="{FF2B5EF4-FFF2-40B4-BE49-F238E27FC236}">
              <a16:creationId xmlns:a16="http://schemas.microsoft.com/office/drawing/2014/main" id="{C3BF12A0-5462-44A7-B9EF-B77D4D94F7BC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63" name="Text Box 701">
          <a:extLst>
            <a:ext uri="{FF2B5EF4-FFF2-40B4-BE49-F238E27FC236}">
              <a16:creationId xmlns:a16="http://schemas.microsoft.com/office/drawing/2014/main" id="{EBA5B9B4-1DF7-4ACA-BF58-2B61A23647C0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64" name="Text Box 702">
          <a:extLst>
            <a:ext uri="{FF2B5EF4-FFF2-40B4-BE49-F238E27FC236}">
              <a16:creationId xmlns:a16="http://schemas.microsoft.com/office/drawing/2014/main" id="{00EC24B6-423C-45A2-BF43-FA599436CBD1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65" name="Text Box 703">
          <a:extLst>
            <a:ext uri="{FF2B5EF4-FFF2-40B4-BE49-F238E27FC236}">
              <a16:creationId xmlns:a16="http://schemas.microsoft.com/office/drawing/2014/main" id="{7A79C01E-6C0E-4B07-BF63-0A17796ABA79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66" name="Text Box 704">
          <a:extLst>
            <a:ext uri="{FF2B5EF4-FFF2-40B4-BE49-F238E27FC236}">
              <a16:creationId xmlns:a16="http://schemas.microsoft.com/office/drawing/2014/main" id="{260BB811-0BAE-401F-B49A-C0779D539383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67" name="Text Box 705">
          <a:extLst>
            <a:ext uri="{FF2B5EF4-FFF2-40B4-BE49-F238E27FC236}">
              <a16:creationId xmlns:a16="http://schemas.microsoft.com/office/drawing/2014/main" id="{B9F80000-37E0-4ABF-AD8F-2622C1CFD39E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68" name="Text Box 706">
          <a:extLst>
            <a:ext uri="{FF2B5EF4-FFF2-40B4-BE49-F238E27FC236}">
              <a16:creationId xmlns:a16="http://schemas.microsoft.com/office/drawing/2014/main" id="{252B4D53-033C-4253-A8D8-1467447D4149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69" name="Text Box 707">
          <a:extLst>
            <a:ext uri="{FF2B5EF4-FFF2-40B4-BE49-F238E27FC236}">
              <a16:creationId xmlns:a16="http://schemas.microsoft.com/office/drawing/2014/main" id="{41669E5D-9AF0-4375-B0A9-5E8DDFF621A5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70" name="Text Box 708">
          <a:extLst>
            <a:ext uri="{FF2B5EF4-FFF2-40B4-BE49-F238E27FC236}">
              <a16:creationId xmlns:a16="http://schemas.microsoft.com/office/drawing/2014/main" id="{0D009059-3543-4E73-8A3B-3A8AC3C8785E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71" name="Text Box 709">
          <a:extLst>
            <a:ext uri="{FF2B5EF4-FFF2-40B4-BE49-F238E27FC236}">
              <a16:creationId xmlns:a16="http://schemas.microsoft.com/office/drawing/2014/main" id="{176A4BF1-7FF5-4E80-BC49-975118C9C566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72" name="Text Box 710">
          <a:extLst>
            <a:ext uri="{FF2B5EF4-FFF2-40B4-BE49-F238E27FC236}">
              <a16:creationId xmlns:a16="http://schemas.microsoft.com/office/drawing/2014/main" id="{91AF1418-F4EA-4401-B285-FE7A9B0A573F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73" name="Text Box 711">
          <a:extLst>
            <a:ext uri="{FF2B5EF4-FFF2-40B4-BE49-F238E27FC236}">
              <a16:creationId xmlns:a16="http://schemas.microsoft.com/office/drawing/2014/main" id="{E8CE8621-E0AC-4D87-83F2-C9AFF424AA0A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74" name="Text Box 712">
          <a:extLst>
            <a:ext uri="{FF2B5EF4-FFF2-40B4-BE49-F238E27FC236}">
              <a16:creationId xmlns:a16="http://schemas.microsoft.com/office/drawing/2014/main" id="{880E300E-ACA9-4E8E-812E-82CA271B1B30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75" name="Text Box 713">
          <a:extLst>
            <a:ext uri="{FF2B5EF4-FFF2-40B4-BE49-F238E27FC236}">
              <a16:creationId xmlns:a16="http://schemas.microsoft.com/office/drawing/2014/main" id="{97F95913-C6BE-4C66-8A44-137AC2B8B924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76" name="Text Box 714">
          <a:extLst>
            <a:ext uri="{FF2B5EF4-FFF2-40B4-BE49-F238E27FC236}">
              <a16:creationId xmlns:a16="http://schemas.microsoft.com/office/drawing/2014/main" id="{54208686-9AD1-4F41-B289-3906ED3A651D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77" name="Text Box 715">
          <a:extLst>
            <a:ext uri="{FF2B5EF4-FFF2-40B4-BE49-F238E27FC236}">
              <a16:creationId xmlns:a16="http://schemas.microsoft.com/office/drawing/2014/main" id="{04A862EA-FE03-46DC-A8AD-C8610D0CCEF6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78" name="Text Box 716">
          <a:extLst>
            <a:ext uri="{FF2B5EF4-FFF2-40B4-BE49-F238E27FC236}">
              <a16:creationId xmlns:a16="http://schemas.microsoft.com/office/drawing/2014/main" id="{39707BA4-C1AA-4EB1-80B3-7443676F7CD5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79" name="Text Box 717">
          <a:extLst>
            <a:ext uri="{FF2B5EF4-FFF2-40B4-BE49-F238E27FC236}">
              <a16:creationId xmlns:a16="http://schemas.microsoft.com/office/drawing/2014/main" id="{CF9E80C3-AB08-429B-B7C3-08064DB34E4A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80" name="Text Box 718">
          <a:extLst>
            <a:ext uri="{FF2B5EF4-FFF2-40B4-BE49-F238E27FC236}">
              <a16:creationId xmlns:a16="http://schemas.microsoft.com/office/drawing/2014/main" id="{17109F77-05FB-4E35-99BF-70AC76336355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81" name="Text Box 719">
          <a:extLst>
            <a:ext uri="{FF2B5EF4-FFF2-40B4-BE49-F238E27FC236}">
              <a16:creationId xmlns:a16="http://schemas.microsoft.com/office/drawing/2014/main" id="{4F6F9A69-B698-4017-9233-605876117BF7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82" name="Text Box 720">
          <a:extLst>
            <a:ext uri="{FF2B5EF4-FFF2-40B4-BE49-F238E27FC236}">
              <a16:creationId xmlns:a16="http://schemas.microsoft.com/office/drawing/2014/main" id="{99EF3DC6-21C0-461C-9247-111993C15375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83" name="Text Box 721">
          <a:extLst>
            <a:ext uri="{FF2B5EF4-FFF2-40B4-BE49-F238E27FC236}">
              <a16:creationId xmlns:a16="http://schemas.microsoft.com/office/drawing/2014/main" id="{7F0ECF2A-662A-45D6-A382-916FC3E35F68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84" name="Text Box 722">
          <a:extLst>
            <a:ext uri="{FF2B5EF4-FFF2-40B4-BE49-F238E27FC236}">
              <a16:creationId xmlns:a16="http://schemas.microsoft.com/office/drawing/2014/main" id="{50C4B9B6-09C1-4067-B293-EBBD90FF27DA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85" name="Text Box 723">
          <a:extLst>
            <a:ext uri="{FF2B5EF4-FFF2-40B4-BE49-F238E27FC236}">
              <a16:creationId xmlns:a16="http://schemas.microsoft.com/office/drawing/2014/main" id="{470EFDCD-3721-460B-9BD3-8012FFE605C4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86" name="Text Box 724">
          <a:extLst>
            <a:ext uri="{FF2B5EF4-FFF2-40B4-BE49-F238E27FC236}">
              <a16:creationId xmlns:a16="http://schemas.microsoft.com/office/drawing/2014/main" id="{A4ACD473-BA2D-40A3-AA23-4EE48B745176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87" name="Text Box 725">
          <a:extLst>
            <a:ext uri="{FF2B5EF4-FFF2-40B4-BE49-F238E27FC236}">
              <a16:creationId xmlns:a16="http://schemas.microsoft.com/office/drawing/2014/main" id="{6B078F38-81B3-4BA5-BA7E-EF32FF7D5454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88" name="Text Box 726">
          <a:extLst>
            <a:ext uri="{FF2B5EF4-FFF2-40B4-BE49-F238E27FC236}">
              <a16:creationId xmlns:a16="http://schemas.microsoft.com/office/drawing/2014/main" id="{C564AD8F-F112-422D-8052-7D191BB89D75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89" name="Text Box 727">
          <a:extLst>
            <a:ext uri="{FF2B5EF4-FFF2-40B4-BE49-F238E27FC236}">
              <a16:creationId xmlns:a16="http://schemas.microsoft.com/office/drawing/2014/main" id="{7A0E8509-5972-4035-A940-3AB019B1260D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90" name="Text Box 728">
          <a:extLst>
            <a:ext uri="{FF2B5EF4-FFF2-40B4-BE49-F238E27FC236}">
              <a16:creationId xmlns:a16="http://schemas.microsoft.com/office/drawing/2014/main" id="{4D766415-2C9F-40DB-A0A1-8AA357D8DE1C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91" name="Text Box 729">
          <a:extLst>
            <a:ext uri="{FF2B5EF4-FFF2-40B4-BE49-F238E27FC236}">
              <a16:creationId xmlns:a16="http://schemas.microsoft.com/office/drawing/2014/main" id="{347888EF-4747-413A-8721-B9A40F0EACED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92" name="Text Box 730">
          <a:extLst>
            <a:ext uri="{FF2B5EF4-FFF2-40B4-BE49-F238E27FC236}">
              <a16:creationId xmlns:a16="http://schemas.microsoft.com/office/drawing/2014/main" id="{57F4AA53-CE85-4757-B5E5-8D3FDCFDBBB3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93" name="Text Box 731">
          <a:extLst>
            <a:ext uri="{FF2B5EF4-FFF2-40B4-BE49-F238E27FC236}">
              <a16:creationId xmlns:a16="http://schemas.microsoft.com/office/drawing/2014/main" id="{BA777383-F35C-4117-A66B-23F6C144F44D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94" name="Text Box 732">
          <a:extLst>
            <a:ext uri="{FF2B5EF4-FFF2-40B4-BE49-F238E27FC236}">
              <a16:creationId xmlns:a16="http://schemas.microsoft.com/office/drawing/2014/main" id="{B3D9530A-F475-42A7-890B-EBF87D104C3A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95" name="Text Box 733">
          <a:extLst>
            <a:ext uri="{FF2B5EF4-FFF2-40B4-BE49-F238E27FC236}">
              <a16:creationId xmlns:a16="http://schemas.microsoft.com/office/drawing/2014/main" id="{73957D82-3679-4E95-8C43-BE81E9F87BEB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96" name="Text Box 734">
          <a:extLst>
            <a:ext uri="{FF2B5EF4-FFF2-40B4-BE49-F238E27FC236}">
              <a16:creationId xmlns:a16="http://schemas.microsoft.com/office/drawing/2014/main" id="{276A68A8-CCFE-4D4E-B48B-113ECA0E9C78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97" name="Text Box 735">
          <a:extLst>
            <a:ext uri="{FF2B5EF4-FFF2-40B4-BE49-F238E27FC236}">
              <a16:creationId xmlns:a16="http://schemas.microsoft.com/office/drawing/2014/main" id="{0331109E-55F8-4728-AF45-1A5F446033AB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98" name="Text Box 736">
          <a:extLst>
            <a:ext uri="{FF2B5EF4-FFF2-40B4-BE49-F238E27FC236}">
              <a16:creationId xmlns:a16="http://schemas.microsoft.com/office/drawing/2014/main" id="{92B48B26-769E-49DA-967E-62993D0211A2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599" name="Text Box 737">
          <a:extLst>
            <a:ext uri="{FF2B5EF4-FFF2-40B4-BE49-F238E27FC236}">
              <a16:creationId xmlns:a16="http://schemas.microsoft.com/office/drawing/2014/main" id="{DD3128E2-19A6-4677-B07A-0656E31AEC40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600" name="Text Box 738">
          <a:extLst>
            <a:ext uri="{FF2B5EF4-FFF2-40B4-BE49-F238E27FC236}">
              <a16:creationId xmlns:a16="http://schemas.microsoft.com/office/drawing/2014/main" id="{238D4338-93AD-4E26-996B-FA69E3E4F96E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601" name="Text Box 739">
          <a:extLst>
            <a:ext uri="{FF2B5EF4-FFF2-40B4-BE49-F238E27FC236}">
              <a16:creationId xmlns:a16="http://schemas.microsoft.com/office/drawing/2014/main" id="{CE9F5DEB-9600-4D56-875D-BF3B77FE3FB1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602" name="Text Box 740">
          <a:extLst>
            <a:ext uri="{FF2B5EF4-FFF2-40B4-BE49-F238E27FC236}">
              <a16:creationId xmlns:a16="http://schemas.microsoft.com/office/drawing/2014/main" id="{FD5DFA63-3CD3-4A59-A1B3-B4779607A5C0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603" name="Text Box 741">
          <a:extLst>
            <a:ext uri="{FF2B5EF4-FFF2-40B4-BE49-F238E27FC236}">
              <a16:creationId xmlns:a16="http://schemas.microsoft.com/office/drawing/2014/main" id="{FA60A740-F114-4798-9E91-4EC7CAA71C19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604" name="Text Box 742">
          <a:extLst>
            <a:ext uri="{FF2B5EF4-FFF2-40B4-BE49-F238E27FC236}">
              <a16:creationId xmlns:a16="http://schemas.microsoft.com/office/drawing/2014/main" id="{0430204C-348C-402A-882D-FA3E12211F91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605" name="Text Box 743">
          <a:extLst>
            <a:ext uri="{FF2B5EF4-FFF2-40B4-BE49-F238E27FC236}">
              <a16:creationId xmlns:a16="http://schemas.microsoft.com/office/drawing/2014/main" id="{05409571-BAB0-47B5-9F59-E487AE62E2C0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606" name="Text Box 744">
          <a:extLst>
            <a:ext uri="{FF2B5EF4-FFF2-40B4-BE49-F238E27FC236}">
              <a16:creationId xmlns:a16="http://schemas.microsoft.com/office/drawing/2014/main" id="{E4BA8436-7962-43AD-8B87-4482B4D9DD26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607" name="Text Box 745">
          <a:extLst>
            <a:ext uri="{FF2B5EF4-FFF2-40B4-BE49-F238E27FC236}">
              <a16:creationId xmlns:a16="http://schemas.microsoft.com/office/drawing/2014/main" id="{CB09E94E-5319-4FF4-B941-A0FD53C6855E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608" name="Text Box 746">
          <a:extLst>
            <a:ext uri="{FF2B5EF4-FFF2-40B4-BE49-F238E27FC236}">
              <a16:creationId xmlns:a16="http://schemas.microsoft.com/office/drawing/2014/main" id="{C527A689-5CB6-4E4D-9B8D-7AD37840A488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609" name="Text Box 747">
          <a:extLst>
            <a:ext uri="{FF2B5EF4-FFF2-40B4-BE49-F238E27FC236}">
              <a16:creationId xmlns:a16="http://schemas.microsoft.com/office/drawing/2014/main" id="{63E5AF9A-2524-4F96-818D-E8B5C94FC8D5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610" name="Text Box 748">
          <a:extLst>
            <a:ext uri="{FF2B5EF4-FFF2-40B4-BE49-F238E27FC236}">
              <a16:creationId xmlns:a16="http://schemas.microsoft.com/office/drawing/2014/main" id="{27785D75-3E34-4B75-A2F5-D4A0292493FB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611" name="Text Box 749">
          <a:extLst>
            <a:ext uri="{FF2B5EF4-FFF2-40B4-BE49-F238E27FC236}">
              <a16:creationId xmlns:a16="http://schemas.microsoft.com/office/drawing/2014/main" id="{B1C1480A-0D04-491B-8894-6CC1CB5CF248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612" name="Text Box 750">
          <a:extLst>
            <a:ext uri="{FF2B5EF4-FFF2-40B4-BE49-F238E27FC236}">
              <a16:creationId xmlns:a16="http://schemas.microsoft.com/office/drawing/2014/main" id="{B99E7DE6-82C8-4C11-949D-B9977D925D23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613" name="Text Box 751">
          <a:extLst>
            <a:ext uri="{FF2B5EF4-FFF2-40B4-BE49-F238E27FC236}">
              <a16:creationId xmlns:a16="http://schemas.microsoft.com/office/drawing/2014/main" id="{7F36F423-9103-4FBB-B958-07B07C0CD93A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614" name="Text Box 752">
          <a:extLst>
            <a:ext uri="{FF2B5EF4-FFF2-40B4-BE49-F238E27FC236}">
              <a16:creationId xmlns:a16="http://schemas.microsoft.com/office/drawing/2014/main" id="{BEB36125-FA83-4778-A0D8-B63033D24C2A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615" name="Text Box 753">
          <a:extLst>
            <a:ext uri="{FF2B5EF4-FFF2-40B4-BE49-F238E27FC236}">
              <a16:creationId xmlns:a16="http://schemas.microsoft.com/office/drawing/2014/main" id="{2634370B-83A3-4E09-BB96-2E559ACC4691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616" name="Text Box 754">
          <a:extLst>
            <a:ext uri="{FF2B5EF4-FFF2-40B4-BE49-F238E27FC236}">
              <a16:creationId xmlns:a16="http://schemas.microsoft.com/office/drawing/2014/main" id="{D00E55CF-75C9-459B-A2CB-40852CBC62E4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617" name="Text Box 755">
          <a:extLst>
            <a:ext uri="{FF2B5EF4-FFF2-40B4-BE49-F238E27FC236}">
              <a16:creationId xmlns:a16="http://schemas.microsoft.com/office/drawing/2014/main" id="{EC1A0AFB-E6B2-4130-8A23-557488A273DB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618" name="Text Box 756">
          <a:extLst>
            <a:ext uri="{FF2B5EF4-FFF2-40B4-BE49-F238E27FC236}">
              <a16:creationId xmlns:a16="http://schemas.microsoft.com/office/drawing/2014/main" id="{C7E90049-CF91-43BB-990E-E73FCA1503AD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619" name="Text Box 757">
          <a:extLst>
            <a:ext uri="{FF2B5EF4-FFF2-40B4-BE49-F238E27FC236}">
              <a16:creationId xmlns:a16="http://schemas.microsoft.com/office/drawing/2014/main" id="{C9D5BC92-58A9-4DA1-985F-21F67832172D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620" name="Text Box 758">
          <a:extLst>
            <a:ext uri="{FF2B5EF4-FFF2-40B4-BE49-F238E27FC236}">
              <a16:creationId xmlns:a16="http://schemas.microsoft.com/office/drawing/2014/main" id="{DCA2841F-4ED5-4702-9FB7-CBC87469FEFD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621" name="Text Box 759">
          <a:extLst>
            <a:ext uri="{FF2B5EF4-FFF2-40B4-BE49-F238E27FC236}">
              <a16:creationId xmlns:a16="http://schemas.microsoft.com/office/drawing/2014/main" id="{2DE3C5A6-48D9-4A12-A131-5DEFA59D4BD4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622" name="Text Box 760">
          <a:extLst>
            <a:ext uri="{FF2B5EF4-FFF2-40B4-BE49-F238E27FC236}">
              <a16:creationId xmlns:a16="http://schemas.microsoft.com/office/drawing/2014/main" id="{637D6F9C-E411-4071-B191-F6E76C5F4D57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623" name="Text Box 761">
          <a:extLst>
            <a:ext uri="{FF2B5EF4-FFF2-40B4-BE49-F238E27FC236}">
              <a16:creationId xmlns:a16="http://schemas.microsoft.com/office/drawing/2014/main" id="{B79DF93C-DE6C-43D9-99A2-3069FE9245E0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624" name="Text Box 762">
          <a:extLst>
            <a:ext uri="{FF2B5EF4-FFF2-40B4-BE49-F238E27FC236}">
              <a16:creationId xmlns:a16="http://schemas.microsoft.com/office/drawing/2014/main" id="{FF264972-89F8-4FDF-A465-A9474B0FB9EC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625" name="Text Box 763">
          <a:extLst>
            <a:ext uri="{FF2B5EF4-FFF2-40B4-BE49-F238E27FC236}">
              <a16:creationId xmlns:a16="http://schemas.microsoft.com/office/drawing/2014/main" id="{7C9B0903-A768-4F4B-A684-C26FE9E1C396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626" name="Text Box 764">
          <a:extLst>
            <a:ext uri="{FF2B5EF4-FFF2-40B4-BE49-F238E27FC236}">
              <a16:creationId xmlns:a16="http://schemas.microsoft.com/office/drawing/2014/main" id="{967295BD-411E-490A-98B9-B64C3D08A851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627" name="Text Box 765">
          <a:extLst>
            <a:ext uri="{FF2B5EF4-FFF2-40B4-BE49-F238E27FC236}">
              <a16:creationId xmlns:a16="http://schemas.microsoft.com/office/drawing/2014/main" id="{D061B76A-890F-445F-BD0D-5861C2CF738D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628" name="Text Box 766">
          <a:extLst>
            <a:ext uri="{FF2B5EF4-FFF2-40B4-BE49-F238E27FC236}">
              <a16:creationId xmlns:a16="http://schemas.microsoft.com/office/drawing/2014/main" id="{B95EECF4-CA2D-4037-B731-5EABAD9942CE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629" name="Text Box 767">
          <a:extLst>
            <a:ext uri="{FF2B5EF4-FFF2-40B4-BE49-F238E27FC236}">
              <a16:creationId xmlns:a16="http://schemas.microsoft.com/office/drawing/2014/main" id="{329C3606-B3C2-4558-900B-80C26C2F9EC2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630" name="Text Box 768">
          <a:extLst>
            <a:ext uri="{FF2B5EF4-FFF2-40B4-BE49-F238E27FC236}">
              <a16:creationId xmlns:a16="http://schemas.microsoft.com/office/drawing/2014/main" id="{6E33188B-C797-4FAF-A60A-CC8D49A0CA5B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631" name="Text Box 769">
          <a:extLst>
            <a:ext uri="{FF2B5EF4-FFF2-40B4-BE49-F238E27FC236}">
              <a16:creationId xmlns:a16="http://schemas.microsoft.com/office/drawing/2014/main" id="{856C0CC7-ADFA-4E01-8028-9739708230AC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632" name="Text Box 770">
          <a:extLst>
            <a:ext uri="{FF2B5EF4-FFF2-40B4-BE49-F238E27FC236}">
              <a16:creationId xmlns:a16="http://schemas.microsoft.com/office/drawing/2014/main" id="{2641A0B5-1934-4AB1-B974-638F12EC4BED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633" name="Text Box 771">
          <a:extLst>
            <a:ext uri="{FF2B5EF4-FFF2-40B4-BE49-F238E27FC236}">
              <a16:creationId xmlns:a16="http://schemas.microsoft.com/office/drawing/2014/main" id="{1513F389-4422-43E1-8917-43ECE109ECE4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634" name="Text Box 772">
          <a:extLst>
            <a:ext uri="{FF2B5EF4-FFF2-40B4-BE49-F238E27FC236}">
              <a16:creationId xmlns:a16="http://schemas.microsoft.com/office/drawing/2014/main" id="{6A5E033B-5B64-4750-997F-83011B11FC4D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635" name="Text Box 773">
          <a:extLst>
            <a:ext uri="{FF2B5EF4-FFF2-40B4-BE49-F238E27FC236}">
              <a16:creationId xmlns:a16="http://schemas.microsoft.com/office/drawing/2014/main" id="{02298031-010A-4B05-A86A-18787E5625D9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636" name="Text Box 774">
          <a:extLst>
            <a:ext uri="{FF2B5EF4-FFF2-40B4-BE49-F238E27FC236}">
              <a16:creationId xmlns:a16="http://schemas.microsoft.com/office/drawing/2014/main" id="{60FFA231-C1B4-43FA-A2FC-6366024D31C4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637" name="Text Box 775">
          <a:extLst>
            <a:ext uri="{FF2B5EF4-FFF2-40B4-BE49-F238E27FC236}">
              <a16:creationId xmlns:a16="http://schemas.microsoft.com/office/drawing/2014/main" id="{B542CAE4-51B7-4414-A9C4-2C4D15FC1D2B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638" name="Text Box 776">
          <a:extLst>
            <a:ext uri="{FF2B5EF4-FFF2-40B4-BE49-F238E27FC236}">
              <a16:creationId xmlns:a16="http://schemas.microsoft.com/office/drawing/2014/main" id="{B890BC66-BA7F-406E-B3D1-E4A79A222C62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56</xdr:col>
      <xdr:colOff>0</xdr:colOff>
      <xdr:row>133</xdr:row>
      <xdr:rowOff>0</xdr:rowOff>
    </xdr:from>
    <xdr:to>
      <xdr:col>57</xdr:col>
      <xdr:colOff>323850</xdr:colOff>
      <xdr:row>134</xdr:row>
      <xdr:rowOff>0</xdr:rowOff>
    </xdr:to>
    <xdr:sp macro="" textlink="">
      <xdr:nvSpPr>
        <xdr:cNvPr id="3639" name="Text Box 777">
          <a:extLst>
            <a:ext uri="{FF2B5EF4-FFF2-40B4-BE49-F238E27FC236}">
              <a16:creationId xmlns:a16="http://schemas.microsoft.com/office/drawing/2014/main" id="{568446CF-90CE-4691-9398-4C1015140216}"/>
            </a:ext>
          </a:extLst>
        </xdr:cNvPr>
        <xdr:cNvSpPr>
          <a:spLocks noChangeArrowheads="1"/>
        </xdr:cNvSpPr>
      </xdr:nvSpPr>
      <xdr:spPr bwMode="auto">
        <a:xfrm>
          <a:off x="324612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640" name="Text Box 693">
          <a:extLst>
            <a:ext uri="{FF2B5EF4-FFF2-40B4-BE49-F238E27FC236}">
              <a16:creationId xmlns:a16="http://schemas.microsoft.com/office/drawing/2014/main" id="{C5FC6B40-AB04-46EB-951E-F478F8F22235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641" name="Text Box 694">
          <a:extLst>
            <a:ext uri="{FF2B5EF4-FFF2-40B4-BE49-F238E27FC236}">
              <a16:creationId xmlns:a16="http://schemas.microsoft.com/office/drawing/2014/main" id="{D37DC056-0C9F-4B70-A4A4-065B58381063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642" name="Text Box 695">
          <a:extLst>
            <a:ext uri="{FF2B5EF4-FFF2-40B4-BE49-F238E27FC236}">
              <a16:creationId xmlns:a16="http://schemas.microsoft.com/office/drawing/2014/main" id="{257360FB-F0EB-41B9-B9E4-B49B30398CFE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643" name="Text Box 696">
          <a:extLst>
            <a:ext uri="{FF2B5EF4-FFF2-40B4-BE49-F238E27FC236}">
              <a16:creationId xmlns:a16="http://schemas.microsoft.com/office/drawing/2014/main" id="{088D77C1-BBA6-4E31-9E0E-61361000A5A4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644" name="Text Box 697">
          <a:extLst>
            <a:ext uri="{FF2B5EF4-FFF2-40B4-BE49-F238E27FC236}">
              <a16:creationId xmlns:a16="http://schemas.microsoft.com/office/drawing/2014/main" id="{DD513700-E39B-44CD-A12E-8E2443A9245A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645" name="Text Box 698">
          <a:extLst>
            <a:ext uri="{FF2B5EF4-FFF2-40B4-BE49-F238E27FC236}">
              <a16:creationId xmlns:a16="http://schemas.microsoft.com/office/drawing/2014/main" id="{712D64CF-43AA-49CB-BCCE-2DA490523004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646" name="Text Box 699">
          <a:extLst>
            <a:ext uri="{FF2B5EF4-FFF2-40B4-BE49-F238E27FC236}">
              <a16:creationId xmlns:a16="http://schemas.microsoft.com/office/drawing/2014/main" id="{7C69A637-E1C8-41A3-81D2-40849AF2B6DE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647" name="Text Box 700">
          <a:extLst>
            <a:ext uri="{FF2B5EF4-FFF2-40B4-BE49-F238E27FC236}">
              <a16:creationId xmlns:a16="http://schemas.microsoft.com/office/drawing/2014/main" id="{7D02A86A-DB1F-41E5-A48D-18A08884E780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648" name="Text Box 701">
          <a:extLst>
            <a:ext uri="{FF2B5EF4-FFF2-40B4-BE49-F238E27FC236}">
              <a16:creationId xmlns:a16="http://schemas.microsoft.com/office/drawing/2014/main" id="{7FE79D4D-A8CF-4B3B-9E5E-CD0666B0386E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649" name="Text Box 702">
          <a:extLst>
            <a:ext uri="{FF2B5EF4-FFF2-40B4-BE49-F238E27FC236}">
              <a16:creationId xmlns:a16="http://schemas.microsoft.com/office/drawing/2014/main" id="{FE9F7C01-23BD-48CF-A6D3-A9B087A104F4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650" name="Text Box 703">
          <a:extLst>
            <a:ext uri="{FF2B5EF4-FFF2-40B4-BE49-F238E27FC236}">
              <a16:creationId xmlns:a16="http://schemas.microsoft.com/office/drawing/2014/main" id="{224E724E-D634-465D-BAE0-CA22BD055B34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651" name="Text Box 704">
          <a:extLst>
            <a:ext uri="{FF2B5EF4-FFF2-40B4-BE49-F238E27FC236}">
              <a16:creationId xmlns:a16="http://schemas.microsoft.com/office/drawing/2014/main" id="{46FDF6D6-57EE-43A6-93CE-611EA16280D7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652" name="Text Box 705">
          <a:extLst>
            <a:ext uri="{FF2B5EF4-FFF2-40B4-BE49-F238E27FC236}">
              <a16:creationId xmlns:a16="http://schemas.microsoft.com/office/drawing/2014/main" id="{002C8054-867B-497D-932D-7263A5D7DF2A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653" name="Text Box 706">
          <a:extLst>
            <a:ext uri="{FF2B5EF4-FFF2-40B4-BE49-F238E27FC236}">
              <a16:creationId xmlns:a16="http://schemas.microsoft.com/office/drawing/2014/main" id="{488ADC33-19FD-4553-96EB-8BAE15C23840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654" name="Text Box 707">
          <a:extLst>
            <a:ext uri="{FF2B5EF4-FFF2-40B4-BE49-F238E27FC236}">
              <a16:creationId xmlns:a16="http://schemas.microsoft.com/office/drawing/2014/main" id="{44386FD0-EBC1-412E-9965-867C48F14C71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655" name="Text Box 708">
          <a:extLst>
            <a:ext uri="{FF2B5EF4-FFF2-40B4-BE49-F238E27FC236}">
              <a16:creationId xmlns:a16="http://schemas.microsoft.com/office/drawing/2014/main" id="{B444029C-DE5F-47A1-BDED-BBA439633290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656" name="Text Box 709">
          <a:extLst>
            <a:ext uri="{FF2B5EF4-FFF2-40B4-BE49-F238E27FC236}">
              <a16:creationId xmlns:a16="http://schemas.microsoft.com/office/drawing/2014/main" id="{CE0F3118-1746-4588-A154-1EFFA754F4D0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657" name="Text Box 710">
          <a:extLst>
            <a:ext uri="{FF2B5EF4-FFF2-40B4-BE49-F238E27FC236}">
              <a16:creationId xmlns:a16="http://schemas.microsoft.com/office/drawing/2014/main" id="{FCACA6DF-C742-478E-B787-3A51711B362A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658" name="Text Box 711">
          <a:extLst>
            <a:ext uri="{FF2B5EF4-FFF2-40B4-BE49-F238E27FC236}">
              <a16:creationId xmlns:a16="http://schemas.microsoft.com/office/drawing/2014/main" id="{7666DED7-56B9-4BDF-8AD2-E7AD4CEF5914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659" name="Text Box 712">
          <a:extLst>
            <a:ext uri="{FF2B5EF4-FFF2-40B4-BE49-F238E27FC236}">
              <a16:creationId xmlns:a16="http://schemas.microsoft.com/office/drawing/2014/main" id="{DFFB6BE2-9226-4FB7-BBB1-D1AB832D78D8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660" name="Text Box 713">
          <a:extLst>
            <a:ext uri="{FF2B5EF4-FFF2-40B4-BE49-F238E27FC236}">
              <a16:creationId xmlns:a16="http://schemas.microsoft.com/office/drawing/2014/main" id="{E126B02F-873C-4C3C-9C9B-82B7B3E071D6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661" name="Text Box 714">
          <a:extLst>
            <a:ext uri="{FF2B5EF4-FFF2-40B4-BE49-F238E27FC236}">
              <a16:creationId xmlns:a16="http://schemas.microsoft.com/office/drawing/2014/main" id="{533E1F28-4DD5-4874-8642-BE9D623AB293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662" name="Text Box 715">
          <a:extLst>
            <a:ext uri="{FF2B5EF4-FFF2-40B4-BE49-F238E27FC236}">
              <a16:creationId xmlns:a16="http://schemas.microsoft.com/office/drawing/2014/main" id="{D0F0CCB4-E98B-4047-BE84-DA983447BDF6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663" name="Text Box 716">
          <a:extLst>
            <a:ext uri="{FF2B5EF4-FFF2-40B4-BE49-F238E27FC236}">
              <a16:creationId xmlns:a16="http://schemas.microsoft.com/office/drawing/2014/main" id="{D050D2A8-25B2-4135-8D09-E7D89795226F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664" name="Text Box 717">
          <a:extLst>
            <a:ext uri="{FF2B5EF4-FFF2-40B4-BE49-F238E27FC236}">
              <a16:creationId xmlns:a16="http://schemas.microsoft.com/office/drawing/2014/main" id="{0A1660BD-EFF8-4773-94D6-D7B30C4A3C99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665" name="Text Box 718">
          <a:extLst>
            <a:ext uri="{FF2B5EF4-FFF2-40B4-BE49-F238E27FC236}">
              <a16:creationId xmlns:a16="http://schemas.microsoft.com/office/drawing/2014/main" id="{732343F5-697A-4F79-AADF-EDD98804B97C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666" name="Text Box 719">
          <a:extLst>
            <a:ext uri="{FF2B5EF4-FFF2-40B4-BE49-F238E27FC236}">
              <a16:creationId xmlns:a16="http://schemas.microsoft.com/office/drawing/2014/main" id="{D7F3E03C-C5CC-47B7-8FE7-5C517DD7D636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667" name="Text Box 720">
          <a:extLst>
            <a:ext uri="{FF2B5EF4-FFF2-40B4-BE49-F238E27FC236}">
              <a16:creationId xmlns:a16="http://schemas.microsoft.com/office/drawing/2014/main" id="{D9A240EF-ED93-42F1-BFB9-D90E81C3C3EF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668" name="Text Box 721">
          <a:extLst>
            <a:ext uri="{FF2B5EF4-FFF2-40B4-BE49-F238E27FC236}">
              <a16:creationId xmlns:a16="http://schemas.microsoft.com/office/drawing/2014/main" id="{6E966E32-C929-4210-9EA1-E5F4FB917351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669" name="Text Box 722">
          <a:extLst>
            <a:ext uri="{FF2B5EF4-FFF2-40B4-BE49-F238E27FC236}">
              <a16:creationId xmlns:a16="http://schemas.microsoft.com/office/drawing/2014/main" id="{934CD83B-F99D-45BB-9831-133028A8489E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670" name="Text Box 723">
          <a:extLst>
            <a:ext uri="{FF2B5EF4-FFF2-40B4-BE49-F238E27FC236}">
              <a16:creationId xmlns:a16="http://schemas.microsoft.com/office/drawing/2014/main" id="{D52E23AA-6FF9-4706-A212-6BEFF2165851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671" name="Text Box 724">
          <a:extLst>
            <a:ext uri="{FF2B5EF4-FFF2-40B4-BE49-F238E27FC236}">
              <a16:creationId xmlns:a16="http://schemas.microsoft.com/office/drawing/2014/main" id="{19EB73E3-4C47-41A2-8D59-BAEDD8C46F23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672" name="Text Box 725">
          <a:extLst>
            <a:ext uri="{FF2B5EF4-FFF2-40B4-BE49-F238E27FC236}">
              <a16:creationId xmlns:a16="http://schemas.microsoft.com/office/drawing/2014/main" id="{8204B017-E8B5-414F-BAC5-A4B691E300E5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673" name="Text Box 726">
          <a:extLst>
            <a:ext uri="{FF2B5EF4-FFF2-40B4-BE49-F238E27FC236}">
              <a16:creationId xmlns:a16="http://schemas.microsoft.com/office/drawing/2014/main" id="{CC2137FF-5539-4B40-8595-63E748A61CBD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674" name="Text Box 727">
          <a:extLst>
            <a:ext uri="{FF2B5EF4-FFF2-40B4-BE49-F238E27FC236}">
              <a16:creationId xmlns:a16="http://schemas.microsoft.com/office/drawing/2014/main" id="{88E5584C-B9F8-4BB4-BF00-1D0117A4710C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675" name="Text Box 728">
          <a:extLst>
            <a:ext uri="{FF2B5EF4-FFF2-40B4-BE49-F238E27FC236}">
              <a16:creationId xmlns:a16="http://schemas.microsoft.com/office/drawing/2014/main" id="{1696A3F3-ABE5-4FEC-B62C-0ADBE7D5DFFC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676" name="Text Box 729">
          <a:extLst>
            <a:ext uri="{FF2B5EF4-FFF2-40B4-BE49-F238E27FC236}">
              <a16:creationId xmlns:a16="http://schemas.microsoft.com/office/drawing/2014/main" id="{336F9107-8AF2-4DB5-BF86-3DF34BD5832A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677" name="Text Box 730">
          <a:extLst>
            <a:ext uri="{FF2B5EF4-FFF2-40B4-BE49-F238E27FC236}">
              <a16:creationId xmlns:a16="http://schemas.microsoft.com/office/drawing/2014/main" id="{B6818538-414E-4B1E-9355-CC2A6AE7971A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678" name="Text Box 731">
          <a:extLst>
            <a:ext uri="{FF2B5EF4-FFF2-40B4-BE49-F238E27FC236}">
              <a16:creationId xmlns:a16="http://schemas.microsoft.com/office/drawing/2014/main" id="{E2B5347F-EF85-49B1-B8CC-2FAF439DDA15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679" name="Text Box 732">
          <a:extLst>
            <a:ext uri="{FF2B5EF4-FFF2-40B4-BE49-F238E27FC236}">
              <a16:creationId xmlns:a16="http://schemas.microsoft.com/office/drawing/2014/main" id="{4F9AF11D-3944-421F-AD8B-73C8070883CA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680" name="Text Box 733">
          <a:extLst>
            <a:ext uri="{FF2B5EF4-FFF2-40B4-BE49-F238E27FC236}">
              <a16:creationId xmlns:a16="http://schemas.microsoft.com/office/drawing/2014/main" id="{3B63A3A3-4DC9-4FA6-8D95-66D4A6279459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681" name="Text Box 734">
          <a:extLst>
            <a:ext uri="{FF2B5EF4-FFF2-40B4-BE49-F238E27FC236}">
              <a16:creationId xmlns:a16="http://schemas.microsoft.com/office/drawing/2014/main" id="{F209D19D-7042-443F-AC1A-35AAA14F3647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682" name="Text Box 735">
          <a:extLst>
            <a:ext uri="{FF2B5EF4-FFF2-40B4-BE49-F238E27FC236}">
              <a16:creationId xmlns:a16="http://schemas.microsoft.com/office/drawing/2014/main" id="{273B8120-BCA6-4590-90FF-D49C7999A2A1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683" name="Text Box 736">
          <a:extLst>
            <a:ext uri="{FF2B5EF4-FFF2-40B4-BE49-F238E27FC236}">
              <a16:creationId xmlns:a16="http://schemas.microsoft.com/office/drawing/2014/main" id="{5A84AB69-68F7-461D-8C69-196538E5A353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684" name="Text Box 737">
          <a:extLst>
            <a:ext uri="{FF2B5EF4-FFF2-40B4-BE49-F238E27FC236}">
              <a16:creationId xmlns:a16="http://schemas.microsoft.com/office/drawing/2014/main" id="{64B80D57-9E52-4F3D-9C5D-94134D6BFA61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685" name="Text Box 738">
          <a:extLst>
            <a:ext uri="{FF2B5EF4-FFF2-40B4-BE49-F238E27FC236}">
              <a16:creationId xmlns:a16="http://schemas.microsoft.com/office/drawing/2014/main" id="{4F591C9C-C1CB-410D-AB23-BCFD5511FD17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686" name="Text Box 739">
          <a:extLst>
            <a:ext uri="{FF2B5EF4-FFF2-40B4-BE49-F238E27FC236}">
              <a16:creationId xmlns:a16="http://schemas.microsoft.com/office/drawing/2014/main" id="{BE2AFD04-B0B9-4616-A906-A3BBFBAD88B6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687" name="Text Box 740">
          <a:extLst>
            <a:ext uri="{FF2B5EF4-FFF2-40B4-BE49-F238E27FC236}">
              <a16:creationId xmlns:a16="http://schemas.microsoft.com/office/drawing/2014/main" id="{EDF33594-73C2-416A-92AF-B4507FA0C154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688" name="Text Box 741">
          <a:extLst>
            <a:ext uri="{FF2B5EF4-FFF2-40B4-BE49-F238E27FC236}">
              <a16:creationId xmlns:a16="http://schemas.microsoft.com/office/drawing/2014/main" id="{DC5B8A0E-0D7E-4A3B-BFCB-4FC0F8FB2CC2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689" name="Text Box 742">
          <a:extLst>
            <a:ext uri="{FF2B5EF4-FFF2-40B4-BE49-F238E27FC236}">
              <a16:creationId xmlns:a16="http://schemas.microsoft.com/office/drawing/2014/main" id="{4E2FE2CF-EB1B-414F-9649-35CB1275D0D8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690" name="Text Box 743">
          <a:extLst>
            <a:ext uri="{FF2B5EF4-FFF2-40B4-BE49-F238E27FC236}">
              <a16:creationId xmlns:a16="http://schemas.microsoft.com/office/drawing/2014/main" id="{098C53BF-0F92-453D-ABE8-3953AAFB8ABF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691" name="Text Box 744">
          <a:extLst>
            <a:ext uri="{FF2B5EF4-FFF2-40B4-BE49-F238E27FC236}">
              <a16:creationId xmlns:a16="http://schemas.microsoft.com/office/drawing/2014/main" id="{FE4547BA-5C0B-4C96-999D-5B2C692A7013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692" name="Text Box 745">
          <a:extLst>
            <a:ext uri="{FF2B5EF4-FFF2-40B4-BE49-F238E27FC236}">
              <a16:creationId xmlns:a16="http://schemas.microsoft.com/office/drawing/2014/main" id="{AE94E4E2-8571-47B2-B127-366B848FE491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693" name="Text Box 746">
          <a:extLst>
            <a:ext uri="{FF2B5EF4-FFF2-40B4-BE49-F238E27FC236}">
              <a16:creationId xmlns:a16="http://schemas.microsoft.com/office/drawing/2014/main" id="{E79E8F14-8999-450F-AB1D-43BC5D4ECC10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694" name="Text Box 747">
          <a:extLst>
            <a:ext uri="{FF2B5EF4-FFF2-40B4-BE49-F238E27FC236}">
              <a16:creationId xmlns:a16="http://schemas.microsoft.com/office/drawing/2014/main" id="{7AC932DA-9BA2-48F9-A69A-29A10DC9E798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695" name="Text Box 748">
          <a:extLst>
            <a:ext uri="{FF2B5EF4-FFF2-40B4-BE49-F238E27FC236}">
              <a16:creationId xmlns:a16="http://schemas.microsoft.com/office/drawing/2014/main" id="{34FC5089-0BF4-4583-B586-B0B18B19CDFF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696" name="Text Box 749">
          <a:extLst>
            <a:ext uri="{FF2B5EF4-FFF2-40B4-BE49-F238E27FC236}">
              <a16:creationId xmlns:a16="http://schemas.microsoft.com/office/drawing/2014/main" id="{1FE63F9F-7F5F-4FEB-AE23-68BFB2C463A7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697" name="Text Box 750">
          <a:extLst>
            <a:ext uri="{FF2B5EF4-FFF2-40B4-BE49-F238E27FC236}">
              <a16:creationId xmlns:a16="http://schemas.microsoft.com/office/drawing/2014/main" id="{32A7541D-0FB5-4DB6-B4E5-82653AF36E57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698" name="Text Box 751">
          <a:extLst>
            <a:ext uri="{FF2B5EF4-FFF2-40B4-BE49-F238E27FC236}">
              <a16:creationId xmlns:a16="http://schemas.microsoft.com/office/drawing/2014/main" id="{0EFFD982-6617-48D5-B994-11856899FCFB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699" name="Text Box 752">
          <a:extLst>
            <a:ext uri="{FF2B5EF4-FFF2-40B4-BE49-F238E27FC236}">
              <a16:creationId xmlns:a16="http://schemas.microsoft.com/office/drawing/2014/main" id="{3D385119-56A7-4988-B390-FA52F5F75463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00" name="Text Box 753">
          <a:extLst>
            <a:ext uri="{FF2B5EF4-FFF2-40B4-BE49-F238E27FC236}">
              <a16:creationId xmlns:a16="http://schemas.microsoft.com/office/drawing/2014/main" id="{6471AA80-9236-49CD-9E3F-F60797E0AD79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01" name="Text Box 754">
          <a:extLst>
            <a:ext uri="{FF2B5EF4-FFF2-40B4-BE49-F238E27FC236}">
              <a16:creationId xmlns:a16="http://schemas.microsoft.com/office/drawing/2014/main" id="{A98C7E55-1A76-4F7E-BAD1-321D6ECEE0A1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02" name="Text Box 755">
          <a:extLst>
            <a:ext uri="{FF2B5EF4-FFF2-40B4-BE49-F238E27FC236}">
              <a16:creationId xmlns:a16="http://schemas.microsoft.com/office/drawing/2014/main" id="{5CBA5017-07E9-4D16-92B3-81128A722EBE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03" name="Text Box 756">
          <a:extLst>
            <a:ext uri="{FF2B5EF4-FFF2-40B4-BE49-F238E27FC236}">
              <a16:creationId xmlns:a16="http://schemas.microsoft.com/office/drawing/2014/main" id="{A24B3D5A-898E-4DC6-9211-32BE671251BD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04" name="Text Box 757">
          <a:extLst>
            <a:ext uri="{FF2B5EF4-FFF2-40B4-BE49-F238E27FC236}">
              <a16:creationId xmlns:a16="http://schemas.microsoft.com/office/drawing/2014/main" id="{B58E6B9D-D50F-4115-8B46-1440692BBF9A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05" name="Text Box 758">
          <a:extLst>
            <a:ext uri="{FF2B5EF4-FFF2-40B4-BE49-F238E27FC236}">
              <a16:creationId xmlns:a16="http://schemas.microsoft.com/office/drawing/2014/main" id="{30069C46-1547-42B8-B8C8-36F72EB2592B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06" name="Text Box 759">
          <a:extLst>
            <a:ext uri="{FF2B5EF4-FFF2-40B4-BE49-F238E27FC236}">
              <a16:creationId xmlns:a16="http://schemas.microsoft.com/office/drawing/2014/main" id="{8389ADF9-7972-40D5-AD19-230064E796DA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07" name="Text Box 760">
          <a:extLst>
            <a:ext uri="{FF2B5EF4-FFF2-40B4-BE49-F238E27FC236}">
              <a16:creationId xmlns:a16="http://schemas.microsoft.com/office/drawing/2014/main" id="{2EFD948F-79E4-4478-B1E2-EBD508E7EF40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08" name="Text Box 761">
          <a:extLst>
            <a:ext uri="{FF2B5EF4-FFF2-40B4-BE49-F238E27FC236}">
              <a16:creationId xmlns:a16="http://schemas.microsoft.com/office/drawing/2014/main" id="{5499E2CA-3E32-436D-B778-C72D1E490BEE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09" name="Text Box 762">
          <a:extLst>
            <a:ext uri="{FF2B5EF4-FFF2-40B4-BE49-F238E27FC236}">
              <a16:creationId xmlns:a16="http://schemas.microsoft.com/office/drawing/2014/main" id="{5D3849E6-75D8-4D15-AE9F-A0FB277DAF28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10" name="Text Box 763">
          <a:extLst>
            <a:ext uri="{FF2B5EF4-FFF2-40B4-BE49-F238E27FC236}">
              <a16:creationId xmlns:a16="http://schemas.microsoft.com/office/drawing/2014/main" id="{9D9C81C3-43EA-408E-BD42-5E955E9E7347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11" name="Text Box 764">
          <a:extLst>
            <a:ext uri="{FF2B5EF4-FFF2-40B4-BE49-F238E27FC236}">
              <a16:creationId xmlns:a16="http://schemas.microsoft.com/office/drawing/2014/main" id="{D3020665-849E-4718-9383-9753D31A21F5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12" name="Text Box 765">
          <a:extLst>
            <a:ext uri="{FF2B5EF4-FFF2-40B4-BE49-F238E27FC236}">
              <a16:creationId xmlns:a16="http://schemas.microsoft.com/office/drawing/2014/main" id="{D36F14E7-0C35-4179-BD5E-60AFE4AF1F13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13" name="Text Box 766">
          <a:extLst>
            <a:ext uri="{FF2B5EF4-FFF2-40B4-BE49-F238E27FC236}">
              <a16:creationId xmlns:a16="http://schemas.microsoft.com/office/drawing/2014/main" id="{A9E01E4E-E65A-450A-9553-9FBBFEFBC76E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14" name="Text Box 767">
          <a:extLst>
            <a:ext uri="{FF2B5EF4-FFF2-40B4-BE49-F238E27FC236}">
              <a16:creationId xmlns:a16="http://schemas.microsoft.com/office/drawing/2014/main" id="{E61B1184-77DD-49DE-86E2-B86696B63375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15" name="Text Box 768">
          <a:extLst>
            <a:ext uri="{FF2B5EF4-FFF2-40B4-BE49-F238E27FC236}">
              <a16:creationId xmlns:a16="http://schemas.microsoft.com/office/drawing/2014/main" id="{40006571-69B6-4B02-B4A7-E29DD4E94976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16" name="Text Box 769">
          <a:extLst>
            <a:ext uri="{FF2B5EF4-FFF2-40B4-BE49-F238E27FC236}">
              <a16:creationId xmlns:a16="http://schemas.microsoft.com/office/drawing/2014/main" id="{05A77572-DBE3-418C-9E71-BB5F42178336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17" name="Text Box 770">
          <a:extLst>
            <a:ext uri="{FF2B5EF4-FFF2-40B4-BE49-F238E27FC236}">
              <a16:creationId xmlns:a16="http://schemas.microsoft.com/office/drawing/2014/main" id="{680A4210-3C11-473E-9B1E-47EB45596BBD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18" name="Text Box 771">
          <a:extLst>
            <a:ext uri="{FF2B5EF4-FFF2-40B4-BE49-F238E27FC236}">
              <a16:creationId xmlns:a16="http://schemas.microsoft.com/office/drawing/2014/main" id="{7F33CE65-4154-41FE-9AB0-F28450148A64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19" name="Text Box 772">
          <a:extLst>
            <a:ext uri="{FF2B5EF4-FFF2-40B4-BE49-F238E27FC236}">
              <a16:creationId xmlns:a16="http://schemas.microsoft.com/office/drawing/2014/main" id="{3134C63B-FE45-4864-9FD6-ABDE1F5289F1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20" name="Text Box 773">
          <a:extLst>
            <a:ext uri="{FF2B5EF4-FFF2-40B4-BE49-F238E27FC236}">
              <a16:creationId xmlns:a16="http://schemas.microsoft.com/office/drawing/2014/main" id="{05D23879-4115-4569-A2A7-B988400489AF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21" name="Text Box 774">
          <a:extLst>
            <a:ext uri="{FF2B5EF4-FFF2-40B4-BE49-F238E27FC236}">
              <a16:creationId xmlns:a16="http://schemas.microsoft.com/office/drawing/2014/main" id="{541B0122-89CB-461B-A256-D65A8DAF8E05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22" name="Text Box 775">
          <a:extLst>
            <a:ext uri="{FF2B5EF4-FFF2-40B4-BE49-F238E27FC236}">
              <a16:creationId xmlns:a16="http://schemas.microsoft.com/office/drawing/2014/main" id="{5B33F6F8-87B7-441A-921B-C77890547693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23" name="Text Box 776">
          <a:extLst>
            <a:ext uri="{FF2B5EF4-FFF2-40B4-BE49-F238E27FC236}">
              <a16:creationId xmlns:a16="http://schemas.microsoft.com/office/drawing/2014/main" id="{440297B0-EBE1-43BA-8C2E-292F4EE887ED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24" name="Text Box 777">
          <a:extLst>
            <a:ext uri="{FF2B5EF4-FFF2-40B4-BE49-F238E27FC236}">
              <a16:creationId xmlns:a16="http://schemas.microsoft.com/office/drawing/2014/main" id="{03FB213A-EA16-4250-90D6-61436033BD18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25" name="Text Box 693">
          <a:extLst>
            <a:ext uri="{FF2B5EF4-FFF2-40B4-BE49-F238E27FC236}">
              <a16:creationId xmlns:a16="http://schemas.microsoft.com/office/drawing/2014/main" id="{699F77B7-7523-41EF-A8DD-98F248D60924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26" name="Text Box 694">
          <a:extLst>
            <a:ext uri="{FF2B5EF4-FFF2-40B4-BE49-F238E27FC236}">
              <a16:creationId xmlns:a16="http://schemas.microsoft.com/office/drawing/2014/main" id="{FA2C3EF3-2363-4CE6-ADE1-FEBD24795672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27" name="Text Box 695">
          <a:extLst>
            <a:ext uri="{FF2B5EF4-FFF2-40B4-BE49-F238E27FC236}">
              <a16:creationId xmlns:a16="http://schemas.microsoft.com/office/drawing/2014/main" id="{4B922119-4D43-4A19-BA21-DA4737B900EE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28" name="Text Box 696">
          <a:extLst>
            <a:ext uri="{FF2B5EF4-FFF2-40B4-BE49-F238E27FC236}">
              <a16:creationId xmlns:a16="http://schemas.microsoft.com/office/drawing/2014/main" id="{05474AF7-2989-409E-B01A-FA5670F3E39A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29" name="Text Box 697">
          <a:extLst>
            <a:ext uri="{FF2B5EF4-FFF2-40B4-BE49-F238E27FC236}">
              <a16:creationId xmlns:a16="http://schemas.microsoft.com/office/drawing/2014/main" id="{FF14DB2F-0ABF-4ECA-B782-63E7AF7A2699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30" name="Text Box 698">
          <a:extLst>
            <a:ext uri="{FF2B5EF4-FFF2-40B4-BE49-F238E27FC236}">
              <a16:creationId xmlns:a16="http://schemas.microsoft.com/office/drawing/2014/main" id="{939BA2F6-F082-49C3-896E-764194931EB0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31" name="Text Box 699">
          <a:extLst>
            <a:ext uri="{FF2B5EF4-FFF2-40B4-BE49-F238E27FC236}">
              <a16:creationId xmlns:a16="http://schemas.microsoft.com/office/drawing/2014/main" id="{114A5B4D-95A6-4306-846B-99B7A0685164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32" name="Text Box 700">
          <a:extLst>
            <a:ext uri="{FF2B5EF4-FFF2-40B4-BE49-F238E27FC236}">
              <a16:creationId xmlns:a16="http://schemas.microsoft.com/office/drawing/2014/main" id="{1848FE48-796D-4191-8109-C9B2B291691C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33" name="Text Box 701">
          <a:extLst>
            <a:ext uri="{FF2B5EF4-FFF2-40B4-BE49-F238E27FC236}">
              <a16:creationId xmlns:a16="http://schemas.microsoft.com/office/drawing/2014/main" id="{10FFCC64-44C2-44D1-9FCF-A1A88F6EE0A7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34" name="Text Box 702">
          <a:extLst>
            <a:ext uri="{FF2B5EF4-FFF2-40B4-BE49-F238E27FC236}">
              <a16:creationId xmlns:a16="http://schemas.microsoft.com/office/drawing/2014/main" id="{3D79EE87-7BFE-4ECB-A115-87C6F5FD55A0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35" name="Text Box 703">
          <a:extLst>
            <a:ext uri="{FF2B5EF4-FFF2-40B4-BE49-F238E27FC236}">
              <a16:creationId xmlns:a16="http://schemas.microsoft.com/office/drawing/2014/main" id="{92EC9971-E952-4237-82CF-B7961E73D391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36" name="Text Box 704">
          <a:extLst>
            <a:ext uri="{FF2B5EF4-FFF2-40B4-BE49-F238E27FC236}">
              <a16:creationId xmlns:a16="http://schemas.microsoft.com/office/drawing/2014/main" id="{B5BF7EAE-943F-4DDA-83BF-C3330D8ABA8A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37" name="Text Box 705">
          <a:extLst>
            <a:ext uri="{FF2B5EF4-FFF2-40B4-BE49-F238E27FC236}">
              <a16:creationId xmlns:a16="http://schemas.microsoft.com/office/drawing/2014/main" id="{2A455D42-4AB9-4BB7-8423-188FCEC23485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38" name="Text Box 706">
          <a:extLst>
            <a:ext uri="{FF2B5EF4-FFF2-40B4-BE49-F238E27FC236}">
              <a16:creationId xmlns:a16="http://schemas.microsoft.com/office/drawing/2014/main" id="{35D9DA7C-70CB-4BE3-8599-EDE84ECD7980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39" name="Text Box 707">
          <a:extLst>
            <a:ext uri="{FF2B5EF4-FFF2-40B4-BE49-F238E27FC236}">
              <a16:creationId xmlns:a16="http://schemas.microsoft.com/office/drawing/2014/main" id="{8BFB610A-E7F0-43DA-8A00-F827C4956FA7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40" name="Text Box 708">
          <a:extLst>
            <a:ext uri="{FF2B5EF4-FFF2-40B4-BE49-F238E27FC236}">
              <a16:creationId xmlns:a16="http://schemas.microsoft.com/office/drawing/2014/main" id="{9C9AA922-FFE6-4D5D-BF86-3803A35A44C3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41" name="Text Box 709">
          <a:extLst>
            <a:ext uri="{FF2B5EF4-FFF2-40B4-BE49-F238E27FC236}">
              <a16:creationId xmlns:a16="http://schemas.microsoft.com/office/drawing/2014/main" id="{C6B2426A-317E-4FD5-9E04-239A85DF602C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42" name="Text Box 710">
          <a:extLst>
            <a:ext uri="{FF2B5EF4-FFF2-40B4-BE49-F238E27FC236}">
              <a16:creationId xmlns:a16="http://schemas.microsoft.com/office/drawing/2014/main" id="{14F24CEB-5073-402F-A996-D3804220C0A8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43" name="Text Box 711">
          <a:extLst>
            <a:ext uri="{FF2B5EF4-FFF2-40B4-BE49-F238E27FC236}">
              <a16:creationId xmlns:a16="http://schemas.microsoft.com/office/drawing/2014/main" id="{24EA6927-0F60-4EA7-8F45-306EA3B81ED5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44" name="Text Box 712">
          <a:extLst>
            <a:ext uri="{FF2B5EF4-FFF2-40B4-BE49-F238E27FC236}">
              <a16:creationId xmlns:a16="http://schemas.microsoft.com/office/drawing/2014/main" id="{A9C04966-5ADF-45F7-A24B-A3D711700967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45" name="Text Box 713">
          <a:extLst>
            <a:ext uri="{FF2B5EF4-FFF2-40B4-BE49-F238E27FC236}">
              <a16:creationId xmlns:a16="http://schemas.microsoft.com/office/drawing/2014/main" id="{0A36C43D-C802-43AC-818D-D068FF9E698C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46" name="Text Box 714">
          <a:extLst>
            <a:ext uri="{FF2B5EF4-FFF2-40B4-BE49-F238E27FC236}">
              <a16:creationId xmlns:a16="http://schemas.microsoft.com/office/drawing/2014/main" id="{AEB10A19-BCC0-4830-829A-FFFB5F350D7C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47" name="Text Box 715">
          <a:extLst>
            <a:ext uri="{FF2B5EF4-FFF2-40B4-BE49-F238E27FC236}">
              <a16:creationId xmlns:a16="http://schemas.microsoft.com/office/drawing/2014/main" id="{58943E75-CEAE-4D0E-BDB2-8F5602308171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48" name="Text Box 716">
          <a:extLst>
            <a:ext uri="{FF2B5EF4-FFF2-40B4-BE49-F238E27FC236}">
              <a16:creationId xmlns:a16="http://schemas.microsoft.com/office/drawing/2014/main" id="{EAD0CA8B-5780-4FB1-976C-2D7B6EC90919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49" name="Text Box 717">
          <a:extLst>
            <a:ext uri="{FF2B5EF4-FFF2-40B4-BE49-F238E27FC236}">
              <a16:creationId xmlns:a16="http://schemas.microsoft.com/office/drawing/2014/main" id="{E5EF214E-8034-4425-BEFE-0937CB9A6EE1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50" name="Text Box 718">
          <a:extLst>
            <a:ext uri="{FF2B5EF4-FFF2-40B4-BE49-F238E27FC236}">
              <a16:creationId xmlns:a16="http://schemas.microsoft.com/office/drawing/2014/main" id="{397261BB-C589-4B84-9D23-B8EA3D9F9634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51" name="Text Box 719">
          <a:extLst>
            <a:ext uri="{FF2B5EF4-FFF2-40B4-BE49-F238E27FC236}">
              <a16:creationId xmlns:a16="http://schemas.microsoft.com/office/drawing/2014/main" id="{A8FB236B-A317-4716-BAE1-31A4AC07E017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52" name="Text Box 720">
          <a:extLst>
            <a:ext uri="{FF2B5EF4-FFF2-40B4-BE49-F238E27FC236}">
              <a16:creationId xmlns:a16="http://schemas.microsoft.com/office/drawing/2014/main" id="{6768A535-99EF-4E68-B005-94E4A581B375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53" name="Text Box 721">
          <a:extLst>
            <a:ext uri="{FF2B5EF4-FFF2-40B4-BE49-F238E27FC236}">
              <a16:creationId xmlns:a16="http://schemas.microsoft.com/office/drawing/2014/main" id="{84A708AA-BAB2-4DB0-92F7-BE2CE8E45492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54" name="Text Box 722">
          <a:extLst>
            <a:ext uri="{FF2B5EF4-FFF2-40B4-BE49-F238E27FC236}">
              <a16:creationId xmlns:a16="http://schemas.microsoft.com/office/drawing/2014/main" id="{BE4D30B4-49C2-494E-A164-29ED232C212F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55" name="Text Box 723">
          <a:extLst>
            <a:ext uri="{FF2B5EF4-FFF2-40B4-BE49-F238E27FC236}">
              <a16:creationId xmlns:a16="http://schemas.microsoft.com/office/drawing/2014/main" id="{778EB01D-9976-4FAC-A9C7-DE8074D51264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56" name="Text Box 724">
          <a:extLst>
            <a:ext uri="{FF2B5EF4-FFF2-40B4-BE49-F238E27FC236}">
              <a16:creationId xmlns:a16="http://schemas.microsoft.com/office/drawing/2014/main" id="{64EB5F17-293D-4884-9C8A-72CEA6AE4086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57" name="Text Box 725">
          <a:extLst>
            <a:ext uri="{FF2B5EF4-FFF2-40B4-BE49-F238E27FC236}">
              <a16:creationId xmlns:a16="http://schemas.microsoft.com/office/drawing/2014/main" id="{BDC294AC-EC8F-4357-9F40-6B63CB670780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58" name="Text Box 726">
          <a:extLst>
            <a:ext uri="{FF2B5EF4-FFF2-40B4-BE49-F238E27FC236}">
              <a16:creationId xmlns:a16="http://schemas.microsoft.com/office/drawing/2014/main" id="{CF6E4283-01AA-432F-9B1B-EB17FC55FD23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59" name="Text Box 727">
          <a:extLst>
            <a:ext uri="{FF2B5EF4-FFF2-40B4-BE49-F238E27FC236}">
              <a16:creationId xmlns:a16="http://schemas.microsoft.com/office/drawing/2014/main" id="{2111B954-3E84-4703-8C98-B90C95CFE5F8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60" name="Text Box 728">
          <a:extLst>
            <a:ext uri="{FF2B5EF4-FFF2-40B4-BE49-F238E27FC236}">
              <a16:creationId xmlns:a16="http://schemas.microsoft.com/office/drawing/2014/main" id="{18FAAB07-AE7E-44C9-B205-82F77B0809FB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61" name="Text Box 729">
          <a:extLst>
            <a:ext uri="{FF2B5EF4-FFF2-40B4-BE49-F238E27FC236}">
              <a16:creationId xmlns:a16="http://schemas.microsoft.com/office/drawing/2014/main" id="{921F865E-F623-4C67-A0B1-DADEC6644644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62" name="Text Box 730">
          <a:extLst>
            <a:ext uri="{FF2B5EF4-FFF2-40B4-BE49-F238E27FC236}">
              <a16:creationId xmlns:a16="http://schemas.microsoft.com/office/drawing/2014/main" id="{19153FDA-352E-4E37-B8B5-A74F10D48F42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63" name="Text Box 731">
          <a:extLst>
            <a:ext uri="{FF2B5EF4-FFF2-40B4-BE49-F238E27FC236}">
              <a16:creationId xmlns:a16="http://schemas.microsoft.com/office/drawing/2014/main" id="{DA72D3C3-4132-4784-9849-2D24915E0CEF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64" name="Text Box 732">
          <a:extLst>
            <a:ext uri="{FF2B5EF4-FFF2-40B4-BE49-F238E27FC236}">
              <a16:creationId xmlns:a16="http://schemas.microsoft.com/office/drawing/2014/main" id="{D8E07578-4632-4342-812B-79A2DF19648F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65" name="Text Box 733">
          <a:extLst>
            <a:ext uri="{FF2B5EF4-FFF2-40B4-BE49-F238E27FC236}">
              <a16:creationId xmlns:a16="http://schemas.microsoft.com/office/drawing/2014/main" id="{9B75EE41-4ACA-44B1-84A1-1C54206C09A9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66" name="Text Box 734">
          <a:extLst>
            <a:ext uri="{FF2B5EF4-FFF2-40B4-BE49-F238E27FC236}">
              <a16:creationId xmlns:a16="http://schemas.microsoft.com/office/drawing/2014/main" id="{314BA31A-A7F9-429D-A8E5-406C4A374CAA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67" name="Text Box 735">
          <a:extLst>
            <a:ext uri="{FF2B5EF4-FFF2-40B4-BE49-F238E27FC236}">
              <a16:creationId xmlns:a16="http://schemas.microsoft.com/office/drawing/2014/main" id="{929DBC20-4091-4C02-87A8-0D4FF1EF2B9C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68" name="Text Box 736">
          <a:extLst>
            <a:ext uri="{FF2B5EF4-FFF2-40B4-BE49-F238E27FC236}">
              <a16:creationId xmlns:a16="http://schemas.microsoft.com/office/drawing/2014/main" id="{33FE5B63-C9AD-401F-BF6C-34DC5721131E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69" name="Text Box 737">
          <a:extLst>
            <a:ext uri="{FF2B5EF4-FFF2-40B4-BE49-F238E27FC236}">
              <a16:creationId xmlns:a16="http://schemas.microsoft.com/office/drawing/2014/main" id="{C850CB0A-C7B9-4314-ABA2-7699EDD73B40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70" name="Text Box 738">
          <a:extLst>
            <a:ext uri="{FF2B5EF4-FFF2-40B4-BE49-F238E27FC236}">
              <a16:creationId xmlns:a16="http://schemas.microsoft.com/office/drawing/2014/main" id="{73F110AD-E23B-4A71-8F40-5145EDFD9064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71" name="Text Box 739">
          <a:extLst>
            <a:ext uri="{FF2B5EF4-FFF2-40B4-BE49-F238E27FC236}">
              <a16:creationId xmlns:a16="http://schemas.microsoft.com/office/drawing/2014/main" id="{4EE3E300-CB90-4C15-A4AD-39200D1DC324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72" name="Text Box 740">
          <a:extLst>
            <a:ext uri="{FF2B5EF4-FFF2-40B4-BE49-F238E27FC236}">
              <a16:creationId xmlns:a16="http://schemas.microsoft.com/office/drawing/2014/main" id="{130A4711-53DF-491D-9A61-73DC1F145774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73" name="Text Box 741">
          <a:extLst>
            <a:ext uri="{FF2B5EF4-FFF2-40B4-BE49-F238E27FC236}">
              <a16:creationId xmlns:a16="http://schemas.microsoft.com/office/drawing/2014/main" id="{3F2B3E06-9BBA-4427-AC01-A88327DEF987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74" name="Text Box 742">
          <a:extLst>
            <a:ext uri="{FF2B5EF4-FFF2-40B4-BE49-F238E27FC236}">
              <a16:creationId xmlns:a16="http://schemas.microsoft.com/office/drawing/2014/main" id="{0A3DFC41-CE67-4154-ABC8-DE2FB285624A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75" name="Text Box 743">
          <a:extLst>
            <a:ext uri="{FF2B5EF4-FFF2-40B4-BE49-F238E27FC236}">
              <a16:creationId xmlns:a16="http://schemas.microsoft.com/office/drawing/2014/main" id="{3DF2E3FE-184E-4F38-A58A-7C857D24B73B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76" name="Text Box 744">
          <a:extLst>
            <a:ext uri="{FF2B5EF4-FFF2-40B4-BE49-F238E27FC236}">
              <a16:creationId xmlns:a16="http://schemas.microsoft.com/office/drawing/2014/main" id="{B01D78D5-4CF8-44CD-824E-5674D4787FEB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77" name="Text Box 745">
          <a:extLst>
            <a:ext uri="{FF2B5EF4-FFF2-40B4-BE49-F238E27FC236}">
              <a16:creationId xmlns:a16="http://schemas.microsoft.com/office/drawing/2014/main" id="{85F9EF83-79C5-4226-A211-1E0709C3F5A1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78" name="Text Box 746">
          <a:extLst>
            <a:ext uri="{FF2B5EF4-FFF2-40B4-BE49-F238E27FC236}">
              <a16:creationId xmlns:a16="http://schemas.microsoft.com/office/drawing/2014/main" id="{1B916BE4-0834-4B9B-A6AA-3FC59ACC502D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79" name="Text Box 747">
          <a:extLst>
            <a:ext uri="{FF2B5EF4-FFF2-40B4-BE49-F238E27FC236}">
              <a16:creationId xmlns:a16="http://schemas.microsoft.com/office/drawing/2014/main" id="{990CC60B-6420-4821-8F7A-E43785C2FC3F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80" name="Text Box 748">
          <a:extLst>
            <a:ext uri="{FF2B5EF4-FFF2-40B4-BE49-F238E27FC236}">
              <a16:creationId xmlns:a16="http://schemas.microsoft.com/office/drawing/2014/main" id="{F4DBD319-A1D4-46B4-8CF7-777CE3B9B522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81" name="Text Box 749">
          <a:extLst>
            <a:ext uri="{FF2B5EF4-FFF2-40B4-BE49-F238E27FC236}">
              <a16:creationId xmlns:a16="http://schemas.microsoft.com/office/drawing/2014/main" id="{1C87FB26-11FB-49D7-B4FE-7CF61FFCA254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82" name="Text Box 750">
          <a:extLst>
            <a:ext uri="{FF2B5EF4-FFF2-40B4-BE49-F238E27FC236}">
              <a16:creationId xmlns:a16="http://schemas.microsoft.com/office/drawing/2014/main" id="{735C690C-8779-49B1-A361-601EA3C3F89E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83" name="Text Box 751">
          <a:extLst>
            <a:ext uri="{FF2B5EF4-FFF2-40B4-BE49-F238E27FC236}">
              <a16:creationId xmlns:a16="http://schemas.microsoft.com/office/drawing/2014/main" id="{97D4DC26-9A6B-4DBC-9A72-A6425D75AE46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84" name="Text Box 752">
          <a:extLst>
            <a:ext uri="{FF2B5EF4-FFF2-40B4-BE49-F238E27FC236}">
              <a16:creationId xmlns:a16="http://schemas.microsoft.com/office/drawing/2014/main" id="{DF0DE41A-A3BE-41D7-BA98-6234993C19F6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85" name="Text Box 753">
          <a:extLst>
            <a:ext uri="{FF2B5EF4-FFF2-40B4-BE49-F238E27FC236}">
              <a16:creationId xmlns:a16="http://schemas.microsoft.com/office/drawing/2014/main" id="{29E621CD-4F63-4F77-AE6F-0B6F09AD0AFF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86" name="Text Box 754">
          <a:extLst>
            <a:ext uri="{FF2B5EF4-FFF2-40B4-BE49-F238E27FC236}">
              <a16:creationId xmlns:a16="http://schemas.microsoft.com/office/drawing/2014/main" id="{1F9F3687-C8E6-4F6D-8530-0CAEEF470734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87" name="Text Box 755">
          <a:extLst>
            <a:ext uri="{FF2B5EF4-FFF2-40B4-BE49-F238E27FC236}">
              <a16:creationId xmlns:a16="http://schemas.microsoft.com/office/drawing/2014/main" id="{EA62E331-EF3E-4162-B76C-0EEEAED2E1D9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88" name="Text Box 756">
          <a:extLst>
            <a:ext uri="{FF2B5EF4-FFF2-40B4-BE49-F238E27FC236}">
              <a16:creationId xmlns:a16="http://schemas.microsoft.com/office/drawing/2014/main" id="{E24C1466-087B-4F68-A36D-D3920D867586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89" name="Text Box 757">
          <a:extLst>
            <a:ext uri="{FF2B5EF4-FFF2-40B4-BE49-F238E27FC236}">
              <a16:creationId xmlns:a16="http://schemas.microsoft.com/office/drawing/2014/main" id="{D3DFEFCC-85A8-45BF-958B-A32EE818B75A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90" name="Text Box 758">
          <a:extLst>
            <a:ext uri="{FF2B5EF4-FFF2-40B4-BE49-F238E27FC236}">
              <a16:creationId xmlns:a16="http://schemas.microsoft.com/office/drawing/2014/main" id="{E5E6D6BB-665C-42C4-A433-FE6E99818FA0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91" name="Text Box 759">
          <a:extLst>
            <a:ext uri="{FF2B5EF4-FFF2-40B4-BE49-F238E27FC236}">
              <a16:creationId xmlns:a16="http://schemas.microsoft.com/office/drawing/2014/main" id="{38373B1E-40C0-4FCF-B1CE-FD3EB16B889C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92" name="Text Box 760">
          <a:extLst>
            <a:ext uri="{FF2B5EF4-FFF2-40B4-BE49-F238E27FC236}">
              <a16:creationId xmlns:a16="http://schemas.microsoft.com/office/drawing/2014/main" id="{11918AD5-C918-4FD9-B4AE-B15580D28A70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93" name="Text Box 761">
          <a:extLst>
            <a:ext uri="{FF2B5EF4-FFF2-40B4-BE49-F238E27FC236}">
              <a16:creationId xmlns:a16="http://schemas.microsoft.com/office/drawing/2014/main" id="{F8506F6B-512B-44DC-9870-86BFFD4F6003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94" name="Text Box 762">
          <a:extLst>
            <a:ext uri="{FF2B5EF4-FFF2-40B4-BE49-F238E27FC236}">
              <a16:creationId xmlns:a16="http://schemas.microsoft.com/office/drawing/2014/main" id="{E260700A-D87A-46F3-BD85-AE948C51B027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95" name="Text Box 763">
          <a:extLst>
            <a:ext uri="{FF2B5EF4-FFF2-40B4-BE49-F238E27FC236}">
              <a16:creationId xmlns:a16="http://schemas.microsoft.com/office/drawing/2014/main" id="{31B2B70D-5B6B-4F9C-96C0-9BF5C3CC59A5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96" name="Text Box 764">
          <a:extLst>
            <a:ext uri="{FF2B5EF4-FFF2-40B4-BE49-F238E27FC236}">
              <a16:creationId xmlns:a16="http://schemas.microsoft.com/office/drawing/2014/main" id="{DE56423A-3434-4656-B7E8-79FE2885AECE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97" name="Text Box 765">
          <a:extLst>
            <a:ext uri="{FF2B5EF4-FFF2-40B4-BE49-F238E27FC236}">
              <a16:creationId xmlns:a16="http://schemas.microsoft.com/office/drawing/2014/main" id="{A3F73955-B3DE-4186-A4C5-3C4208B84F5F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98" name="Text Box 766">
          <a:extLst>
            <a:ext uri="{FF2B5EF4-FFF2-40B4-BE49-F238E27FC236}">
              <a16:creationId xmlns:a16="http://schemas.microsoft.com/office/drawing/2014/main" id="{F6207786-164A-47F5-84E1-515D31FE944C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799" name="Text Box 767">
          <a:extLst>
            <a:ext uri="{FF2B5EF4-FFF2-40B4-BE49-F238E27FC236}">
              <a16:creationId xmlns:a16="http://schemas.microsoft.com/office/drawing/2014/main" id="{F1984F10-AE5A-41EE-BFD5-A7D54FA31FD7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00" name="Text Box 768">
          <a:extLst>
            <a:ext uri="{FF2B5EF4-FFF2-40B4-BE49-F238E27FC236}">
              <a16:creationId xmlns:a16="http://schemas.microsoft.com/office/drawing/2014/main" id="{8C6E0E54-2DC9-4B87-9DC1-657B5BB39142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01" name="Text Box 769">
          <a:extLst>
            <a:ext uri="{FF2B5EF4-FFF2-40B4-BE49-F238E27FC236}">
              <a16:creationId xmlns:a16="http://schemas.microsoft.com/office/drawing/2014/main" id="{DB36EA4A-F27C-42A9-B370-DFC0F7CA526C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02" name="Text Box 770">
          <a:extLst>
            <a:ext uri="{FF2B5EF4-FFF2-40B4-BE49-F238E27FC236}">
              <a16:creationId xmlns:a16="http://schemas.microsoft.com/office/drawing/2014/main" id="{6C8A5948-375A-4994-ADF8-678A14D72B88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03" name="Text Box 771">
          <a:extLst>
            <a:ext uri="{FF2B5EF4-FFF2-40B4-BE49-F238E27FC236}">
              <a16:creationId xmlns:a16="http://schemas.microsoft.com/office/drawing/2014/main" id="{044C79FF-A327-4DFB-99A8-A1B902411598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04" name="Text Box 772">
          <a:extLst>
            <a:ext uri="{FF2B5EF4-FFF2-40B4-BE49-F238E27FC236}">
              <a16:creationId xmlns:a16="http://schemas.microsoft.com/office/drawing/2014/main" id="{F4B98060-207D-4A07-BC48-6B713088D3A9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05" name="Text Box 773">
          <a:extLst>
            <a:ext uri="{FF2B5EF4-FFF2-40B4-BE49-F238E27FC236}">
              <a16:creationId xmlns:a16="http://schemas.microsoft.com/office/drawing/2014/main" id="{83447C22-A1F2-4DFF-A37D-A5987BC982F3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06" name="Text Box 774">
          <a:extLst>
            <a:ext uri="{FF2B5EF4-FFF2-40B4-BE49-F238E27FC236}">
              <a16:creationId xmlns:a16="http://schemas.microsoft.com/office/drawing/2014/main" id="{F4CF8C93-3BA2-4862-8DAD-854F0646ACB0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07" name="Text Box 775">
          <a:extLst>
            <a:ext uri="{FF2B5EF4-FFF2-40B4-BE49-F238E27FC236}">
              <a16:creationId xmlns:a16="http://schemas.microsoft.com/office/drawing/2014/main" id="{FD81F450-E89C-44B8-B154-1C0A85EF154A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08" name="Text Box 776">
          <a:extLst>
            <a:ext uri="{FF2B5EF4-FFF2-40B4-BE49-F238E27FC236}">
              <a16:creationId xmlns:a16="http://schemas.microsoft.com/office/drawing/2014/main" id="{63D25B2F-D2D3-4E06-8960-F73CBF4787D5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09" name="Text Box 777">
          <a:extLst>
            <a:ext uri="{FF2B5EF4-FFF2-40B4-BE49-F238E27FC236}">
              <a16:creationId xmlns:a16="http://schemas.microsoft.com/office/drawing/2014/main" id="{ACF9BB0D-83CB-4641-AE58-FE08C2F41B02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10" name="Text Box 693">
          <a:extLst>
            <a:ext uri="{FF2B5EF4-FFF2-40B4-BE49-F238E27FC236}">
              <a16:creationId xmlns:a16="http://schemas.microsoft.com/office/drawing/2014/main" id="{2712B666-E215-4398-BE42-3494DC435F4F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11" name="Text Box 694">
          <a:extLst>
            <a:ext uri="{FF2B5EF4-FFF2-40B4-BE49-F238E27FC236}">
              <a16:creationId xmlns:a16="http://schemas.microsoft.com/office/drawing/2014/main" id="{17026C30-8BD6-4789-A532-82387C037C93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12" name="Text Box 695">
          <a:extLst>
            <a:ext uri="{FF2B5EF4-FFF2-40B4-BE49-F238E27FC236}">
              <a16:creationId xmlns:a16="http://schemas.microsoft.com/office/drawing/2014/main" id="{F2C7B253-AAC7-4A56-8A58-C9EF1FD28886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13" name="Text Box 696">
          <a:extLst>
            <a:ext uri="{FF2B5EF4-FFF2-40B4-BE49-F238E27FC236}">
              <a16:creationId xmlns:a16="http://schemas.microsoft.com/office/drawing/2014/main" id="{AB048D43-B069-4145-BF50-FD876FE6C0A9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14" name="Text Box 697">
          <a:extLst>
            <a:ext uri="{FF2B5EF4-FFF2-40B4-BE49-F238E27FC236}">
              <a16:creationId xmlns:a16="http://schemas.microsoft.com/office/drawing/2014/main" id="{CDA1CB21-EABA-4895-8948-6418EE7131F1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15" name="Text Box 698">
          <a:extLst>
            <a:ext uri="{FF2B5EF4-FFF2-40B4-BE49-F238E27FC236}">
              <a16:creationId xmlns:a16="http://schemas.microsoft.com/office/drawing/2014/main" id="{A4EFD644-E95E-4CDD-AB7F-2912CC3592B9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16" name="Text Box 699">
          <a:extLst>
            <a:ext uri="{FF2B5EF4-FFF2-40B4-BE49-F238E27FC236}">
              <a16:creationId xmlns:a16="http://schemas.microsoft.com/office/drawing/2014/main" id="{062B5B8A-A210-4E72-B0AD-BE11752BF7E2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17" name="Text Box 700">
          <a:extLst>
            <a:ext uri="{FF2B5EF4-FFF2-40B4-BE49-F238E27FC236}">
              <a16:creationId xmlns:a16="http://schemas.microsoft.com/office/drawing/2014/main" id="{F83764EB-D224-4C65-96BD-CA6A55C03A2C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18" name="Text Box 701">
          <a:extLst>
            <a:ext uri="{FF2B5EF4-FFF2-40B4-BE49-F238E27FC236}">
              <a16:creationId xmlns:a16="http://schemas.microsoft.com/office/drawing/2014/main" id="{0A1D949A-F6C6-4A40-9698-8A627F026B1D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19" name="Text Box 702">
          <a:extLst>
            <a:ext uri="{FF2B5EF4-FFF2-40B4-BE49-F238E27FC236}">
              <a16:creationId xmlns:a16="http://schemas.microsoft.com/office/drawing/2014/main" id="{59EA324D-2120-40C5-B2C3-0E5040210CC9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20" name="Text Box 703">
          <a:extLst>
            <a:ext uri="{FF2B5EF4-FFF2-40B4-BE49-F238E27FC236}">
              <a16:creationId xmlns:a16="http://schemas.microsoft.com/office/drawing/2014/main" id="{2D203C2D-092E-4CE4-9CFD-C94A8E09267F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21" name="Text Box 704">
          <a:extLst>
            <a:ext uri="{FF2B5EF4-FFF2-40B4-BE49-F238E27FC236}">
              <a16:creationId xmlns:a16="http://schemas.microsoft.com/office/drawing/2014/main" id="{299695E6-11B9-42FC-8CDD-D26939F76B76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22" name="Text Box 705">
          <a:extLst>
            <a:ext uri="{FF2B5EF4-FFF2-40B4-BE49-F238E27FC236}">
              <a16:creationId xmlns:a16="http://schemas.microsoft.com/office/drawing/2014/main" id="{E3217851-423E-4F02-BC08-C0653AF7780E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23" name="Text Box 706">
          <a:extLst>
            <a:ext uri="{FF2B5EF4-FFF2-40B4-BE49-F238E27FC236}">
              <a16:creationId xmlns:a16="http://schemas.microsoft.com/office/drawing/2014/main" id="{83CBB208-F322-411E-9C9C-577D04FF98C3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24" name="Text Box 707">
          <a:extLst>
            <a:ext uri="{FF2B5EF4-FFF2-40B4-BE49-F238E27FC236}">
              <a16:creationId xmlns:a16="http://schemas.microsoft.com/office/drawing/2014/main" id="{5CCD7C6B-D001-4526-AF20-184B97BC925B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25" name="Text Box 708">
          <a:extLst>
            <a:ext uri="{FF2B5EF4-FFF2-40B4-BE49-F238E27FC236}">
              <a16:creationId xmlns:a16="http://schemas.microsoft.com/office/drawing/2014/main" id="{3EE1350E-70B5-4312-A5FD-5C938E074072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26" name="Text Box 709">
          <a:extLst>
            <a:ext uri="{FF2B5EF4-FFF2-40B4-BE49-F238E27FC236}">
              <a16:creationId xmlns:a16="http://schemas.microsoft.com/office/drawing/2014/main" id="{C289E89F-0BFC-42EB-97CD-5367EBC2A383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27" name="Text Box 710">
          <a:extLst>
            <a:ext uri="{FF2B5EF4-FFF2-40B4-BE49-F238E27FC236}">
              <a16:creationId xmlns:a16="http://schemas.microsoft.com/office/drawing/2014/main" id="{13C1DD93-B1C8-4361-B974-FC475D033662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28" name="Text Box 711">
          <a:extLst>
            <a:ext uri="{FF2B5EF4-FFF2-40B4-BE49-F238E27FC236}">
              <a16:creationId xmlns:a16="http://schemas.microsoft.com/office/drawing/2014/main" id="{CAA693F2-236F-4048-A1DC-6D51B966AA38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29" name="Text Box 712">
          <a:extLst>
            <a:ext uri="{FF2B5EF4-FFF2-40B4-BE49-F238E27FC236}">
              <a16:creationId xmlns:a16="http://schemas.microsoft.com/office/drawing/2014/main" id="{1202914D-40D2-47D8-AC5D-9DC90D307659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30" name="Text Box 713">
          <a:extLst>
            <a:ext uri="{FF2B5EF4-FFF2-40B4-BE49-F238E27FC236}">
              <a16:creationId xmlns:a16="http://schemas.microsoft.com/office/drawing/2014/main" id="{54CD5935-68AD-4D12-88B1-EF77C6B5C513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31" name="Text Box 714">
          <a:extLst>
            <a:ext uri="{FF2B5EF4-FFF2-40B4-BE49-F238E27FC236}">
              <a16:creationId xmlns:a16="http://schemas.microsoft.com/office/drawing/2014/main" id="{B636FC4D-BAB5-4EAC-B0E1-4639C586671D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32" name="Text Box 715">
          <a:extLst>
            <a:ext uri="{FF2B5EF4-FFF2-40B4-BE49-F238E27FC236}">
              <a16:creationId xmlns:a16="http://schemas.microsoft.com/office/drawing/2014/main" id="{7B0ABDA3-789F-498F-8E6F-35B353230A54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33" name="Text Box 716">
          <a:extLst>
            <a:ext uri="{FF2B5EF4-FFF2-40B4-BE49-F238E27FC236}">
              <a16:creationId xmlns:a16="http://schemas.microsoft.com/office/drawing/2014/main" id="{F957AB74-2AB1-4367-9EDB-B78F2FAC0E8C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34" name="Text Box 717">
          <a:extLst>
            <a:ext uri="{FF2B5EF4-FFF2-40B4-BE49-F238E27FC236}">
              <a16:creationId xmlns:a16="http://schemas.microsoft.com/office/drawing/2014/main" id="{0C3BC5EC-15AE-427C-B92B-1351903F9317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35" name="Text Box 718">
          <a:extLst>
            <a:ext uri="{FF2B5EF4-FFF2-40B4-BE49-F238E27FC236}">
              <a16:creationId xmlns:a16="http://schemas.microsoft.com/office/drawing/2014/main" id="{720A31AC-B2C9-435A-84E0-3FBEDE505C2D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36" name="Text Box 719">
          <a:extLst>
            <a:ext uri="{FF2B5EF4-FFF2-40B4-BE49-F238E27FC236}">
              <a16:creationId xmlns:a16="http://schemas.microsoft.com/office/drawing/2014/main" id="{0B0BEC99-6371-4A74-A1DF-E6BB317A3DB1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37" name="Text Box 720">
          <a:extLst>
            <a:ext uri="{FF2B5EF4-FFF2-40B4-BE49-F238E27FC236}">
              <a16:creationId xmlns:a16="http://schemas.microsoft.com/office/drawing/2014/main" id="{92C0FAD8-CC3D-4F99-A8E0-3B25BB0D35EE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38" name="Text Box 721">
          <a:extLst>
            <a:ext uri="{FF2B5EF4-FFF2-40B4-BE49-F238E27FC236}">
              <a16:creationId xmlns:a16="http://schemas.microsoft.com/office/drawing/2014/main" id="{2884ED86-BBFD-4F7E-AFF7-C9EA125E7B27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39" name="Text Box 722">
          <a:extLst>
            <a:ext uri="{FF2B5EF4-FFF2-40B4-BE49-F238E27FC236}">
              <a16:creationId xmlns:a16="http://schemas.microsoft.com/office/drawing/2014/main" id="{C0ED8F06-42BB-4FFB-AA25-A66FD0D343E9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40" name="Text Box 723">
          <a:extLst>
            <a:ext uri="{FF2B5EF4-FFF2-40B4-BE49-F238E27FC236}">
              <a16:creationId xmlns:a16="http://schemas.microsoft.com/office/drawing/2014/main" id="{36BA0BC9-DE84-4F89-AA30-BDD63AA67113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41" name="Text Box 724">
          <a:extLst>
            <a:ext uri="{FF2B5EF4-FFF2-40B4-BE49-F238E27FC236}">
              <a16:creationId xmlns:a16="http://schemas.microsoft.com/office/drawing/2014/main" id="{04DCBAE9-0CC1-47EC-9744-BBAE0A62FA3D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42" name="Text Box 725">
          <a:extLst>
            <a:ext uri="{FF2B5EF4-FFF2-40B4-BE49-F238E27FC236}">
              <a16:creationId xmlns:a16="http://schemas.microsoft.com/office/drawing/2014/main" id="{090700D8-BCE5-4463-80D5-ECF7449DB562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43" name="Text Box 726">
          <a:extLst>
            <a:ext uri="{FF2B5EF4-FFF2-40B4-BE49-F238E27FC236}">
              <a16:creationId xmlns:a16="http://schemas.microsoft.com/office/drawing/2014/main" id="{CFAE5C6E-900E-4655-B40C-54C4D6EE27D3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44" name="Text Box 727">
          <a:extLst>
            <a:ext uri="{FF2B5EF4-FFF2-40B4-BE49-F238E27FC236}">
              <a16:creationId xmlns:a16="http://schemas.microsoft.com/office/drawing/2014/main" id="{C50A2056-B3A6-4936-B04E-2AD08072CC56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45" name="Text Box 728">
          <a:extLst>
            <a:ext uri="{FF2B5EF4-FFF2-40B4-BE49-F238E27FC236}">
              <a16:creationId xmlns:a16="http://schemas.microsoft.com/office/drawing/2014/main" id="{47CCAD26-6D15-48E5-AB58-F5633C35A731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46" name="Text Box 729">
          <a:extLst>
            <a:ext uri="{FF2B5EF4-FFF2-40B4-BE49-F238E27FC236}">
              <a16:creationId xmlns:a16="http://schemas.microsoft.com/office/drawing/2014/main" id="{DEA9D4F3-9D08-4C64-BE91-A18D04A03423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47" name="Text Box 730">
          <a:extLst>
            <a:ext uri="{FF2B5EF4-FFF2-40B4-BE49-F238E27FC236}">
              <a16:creationId xmlns:a16="http://schemas.microsoft.com/office/drawing/2014/main" id="{767953E0-4074-4E81-91A6-221BEF2BE3B2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48" name="Text Box 731">
          <a:extLst>
            <a:ext uri="{FF2B5EF4-FFF2-40B4-BE49-F238E27FC236}">
              <a16:creationId xmlns:a16="http://schemas.microsoft.com/office/drawing/2014/main" id="{4EDD3E5E-BA06-49EA-8CB0-A2AB571AF1E8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49" name="Text Box 732">
          <a:extLst>
            <a:ext uri="{FF2B5EF4-FFF2-40B4-BE49-F238E27FC236}">
              <a16:creationId xmlns:a16="http://schemas.microsoft.com/office/drawing/2014/main" id="{073DBDBE-8F36-492F-8E8F-1569154AB7AD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50" name="Text Box 733">
          <a:extLst>
            <a:ext uri="{FF2B5EF4-FFF2-40B4-BE49-F238E27FC236}">
              <a16:creationId xmlns:a16="http://schemas.microsoft.com/office/drawing/2014/main" id="{BD119922-7777-4DF1-BA5E-F01370134FEF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51" name="Text Box 734">
          <a:extLst>
            <a:ext uri="{FF2B5EF4-FFF2-40B4-BE49-F238E27FC236}">
              <a16:creationId xmlns:a16="http://schemas.microsoft.com/office/drawing/2014/main" id="{2D22D7EB-BB78-46D2-A54C-3946BFCA8E2D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52" name="Text Box 735">
          <a:extLst>
            <a:ext uri="{FF2B5EF4-FFF2-40B4-BE49-F238E27FC236}">
              <a16:creationId xmlns:a16="http://schemas.microsoft.com/office/drawing/2014/main" id="{EC9CDE6C-D11D-4F28-B1BC-46481AD3AB80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53" name="Text Box 736">
          <a:extLst>
            <a:ext uri="{FF2B5EF4-FFF2-40B4-BE49-F238E27FC236}">
              <a16:creationId xmlns:a16="http://schemas.microsoft.com/office/drawing/2014/main" id="{ADAB47C9-3A1D-4EDC-8FCF-82E478820ED5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54" name="Text Box 737">
          <a:extLst>
            <a:ext uri="{FF2B5EF4-FFF2-40B4-BE49-F238E27FC236}">
              <a16:creationId xmlns:a16="http://schemas.microsoft.com/office/drawing/2014/main" id="{BE44289A-EBC3-4CE8-B279-394A2A863747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55" name="Text Box 738">
          <a:extLst>
            <a:ext uri="{FF2B5EF4-FFF2-40B4-BE49-F238E27FC236}">
              <a16:creationId xmlns:a16="http://schemas.microsoft.com/office/drawing/2014/main" id="{71FF015B-EF72-4284-A107-F3611DF83464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56" name="Text Box 739">
          <a:extLst>
            <a:ext uri="{FF2B5EF4-FFF2-40B4-BE49-F238E27FC236}">
              <a16:creationId xmlns:a16="http://schemas.microsoft.com/office/drawing/2014/main" id="{8A3B49C0-6AC9-490F-95F1-795FA5CE32C9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57" name="Text Box 740">
          <a:extLst>
            <a:ext uri="{FF2B5EF4-FFF2-40B4-BE49-F238E27FC236}">
              <a16:creationId xmlns:a16="http://schemas.microsoft.com/office/drawing/2014/main" id="{FEBF5D67-8C96-4410-8B77-8932744E88BD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58" name="Text Box 741">
          <a:extLst>
            <a:ext uri="{FF2B5EF4-FFF2-40B4-BE49-F238E27FC236}">
              <a16:creationId xmlns:a16="http://schemas.microsoft.com/office/drawing/2014/main" id="{D92C0498-F1BC-417A-89C6-E7EC8571AEB8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59" name="Text Box 742">
          <a:extLst>
            <a:ext uri="{FF2B5EF4-FFF2-40B4-BE49-F238E27FC236}">
              <a16:creationId xmlns:a16="http://schemas.microsoft.com/office/drawing/2014/main" id="{CC03AD0F-CB1A-41B9-BBA8-FBA57EBB711E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60" name="Text Box 743">
          <a:extLst>
            <a:ext uri="{FF2B5EF4-FFF2-40B4-BE49-F238E27FC236}">
              <a16:creationId xmlns:a16="http://schemas.microsoft.com/office/drawing/2014/main" id="{812B2157-2FCF-4D76-808F-82C9C6B8288B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61" name="Text Box 744">
          <a:extLst>
            <a:ext uri="{FF2B5EF4-FFF2-40B4-BE49-F238E27FC236}">
              <a16:creationId xmlns:a16="http://schemas.microsoft.com/office/drawing/2014/main" id="{8B1780BE-BEDF-45E6-B561-BBF23A82EE14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62" name="Text Box 745">
          <a:extLst>
            <a:ext uri="{FF2B5EF4-FFF2-40B4-BE49-F238E27FC236}">
              <a16:creationId xmlns:a16="http://schemas.microsoft.com/office/drawing/2014/main" id="{981F1321-8864-4A7D-BE8B-98FE1732B5C7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63" name="Text Box 746">
          <a:extLst>
            <a:ext uri="{FF2B5EF4-FFF2-40B4-BE49-F238E27FC236}">
              <a16:creationId xmlns:a16="http://schemas.microsoft.com/office/drawing/2014/main" id="{A67276DF-4679-4B80-9D84-764E4434D806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64" name="Text Box 747">
          <a:extLst>
            <a:ext uri="{FF2B5EF4-FFF2-40B4-BE49-F238E27FC236}">
              <a16:creationId xmlns:a16="http://schemas.microsoft.com/office/drawing/2014/main" id="{44EEF047-1996-4E5D-AADA-8D90590F1681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65" name="Text Box 748">
          <a:extLst>
            <a:ext uri="{FF2B5EF4-FFF2-40B4-BE49-F238E27FC236}">
              <a16:creationId xmlns:a16="http://schemas.microsoft.com/office/drawing/2014/main" id="{6E7666D8-5802-48AD-9200-C480AD25BE07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66" name="Text Box 749">
          <a:extLst>
            <a:ext uri="{FF2B5EF4-FFF2-40B4-BE49-F238E27FC236}">
              <a16:creationId xmlns:a16="http://schemas.microsoft.com/office/drawing/2014/main" id="{BC7E3EB5-9890-4200-BA7C-4F723B3A08F9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67" name="Text Box 750">
          <a:extLst>
            <a:ext uri="{FF2B5EF4-FFF2-40B4-BE49-F238E27FC236}">
              <a16:creationId xmlns:a16="http://schemas.microsoft.com/office/drawing/2014/main" id="{A670DB18-FBEE-429C-B623-3727C2137FB5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68" name="Text Box 751">
          <a:extLst>
            <a:ext uri="{FF2B5EF4-FFF2-40B4-BE49-F238E27FC236}">
              <a16:creationId xmlns:a16="http://schemas.microsoft.com/office/drawing/2014/main" id="{1008DDC1-96C7-434A-8A95-CB6D2D9356C7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69" name="Text Box 752">
          <a:extLst>
            <a:ext uri="{FF2B5EF4-FFF2-40B4-BE49-F238E27FC236}">
              <a16:creationId xmlns:a16="http://schemas.microsoft.com/office/drawing/2014/main" id="{D3422827-3317-49C6-AD0D-D1242874C732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70" name="Text Box 753">
          <a:extLst>
            <a:ext uri="{FF2B5EF4-FFF2-40B4-BE49-F238E27FC236}">
              <a16:creationId xmlns:a16="http://schemas.microsoft.com/office/drawing/2014/main" id="{6870DCD9-9E56-42BB-853E-374E9D2ABD2C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71" name="Text Box 754">
          <a:extLst>
            <a:ext uri="{FF2B5EF4-FFF2-40B4-BE49-F238E27FC236}">
              <a16:creationId xmlns:a16="http://schemas.microsoft.com/office/drawing/2014/main" id="{4AB4C5F2-E950-4022-A368-519ACD146802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72" name="Text Box 755">
          <a:extLst>
            <a:ext uri="{FF2B5EF4-FFF2-40B4-BE49-F238E27FC236}">
              <a16:creationId xmlns:a16="http://schemas.microsoft.com/office/drawing/2014/main" id="{EFDEBB41-31E0-4EBE-A360-E6AF2458B557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73" name="Text Box 756">
          <a:extLst>
            <a:ext uri="{FF2B5EF4-FFF2-40B4-BE49-F238E27FC236}">
              <a16:creationId xmlns:a16="http://schemas.microsoft.com/office/drawing/2014/main" id="{F35B1740-B3BB-4D57-A117-E7491D8E2EAE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74" name="Text Box 757">
          <a:extLst>
            <a:ext uri="{FF2B5EF4-FFF2-40B4-BE49-F238E27FC236}">
              <a16:creationId xmlns:a16="http://schemas.microsoft.com/office/drawing/2014/main" id="{FAED8AB2-0C22-4143-B4D9-4C56178E0E80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75" name="Text Box 758">
          <a:extLst>
            <a:ext uri="{FF2B5EF4-FFF2-40B4-BE49-F238E27FC236}">
              <a16:creationId xmlns:a16="http://schemas.microsoft.com/office/drawing/2014/main" id="{459B75E5-5667-46EA-96AA-C0D57084B89E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76" name="Text Box 759">
          <a:extLst>
            <a:ext uri="{FF2B5EF4-FFF2-40B4-BE49-F238E27FC236}">
              <a16:creationId xmlns:a16="http://schemas.microsoft.com/office/drawing/2014/main" id="{81CF1CD4-9975-44AF-BB69-1FF4825B4B09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77" name="Text Box 760">
          <a:extLst>
            <a:ext uri="{FF2B5EF4-FFF2-40B4-BE49-F238E27FC236}">
              <a16:creationId xmlns:a16="http://schemas.microsoft.com/office/drawing/2014/main" id="{C485DD1C-C384-47E8-BBD2-E89D18B9163A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78" name="Text Box 761">
          <a:extLst>
            <a:ext uri="{FF2B5EF4-FFF2-40B4-BE49-F238E27FC236}">
              <a16:creationId xmlns:a16="http://schemas.microsoft.com/office/drawing/2014/main" id="{DA585490-B68C-4F9E-A987-B2DE56B5D9E2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79" name="Text Box 762">
          <a:extLst>
            <a:ext uri="{FF2B5EF4-FFF2-40B4-BE49-F238E27FC236}">
              <a16:creationId xmlns:a16="http://schemas.microsoft.com/office/drawing/2014/main" id="{BDDA4CDB-13D3-4529-8D9A-CF9C418BD5B1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80" name="Text Box 763">
          <a:extLst>
            <a:ext uri="{FF2B5EF4-FFF2-40B4-BE49-F238E27FC236}">
              <a16:creationId xmlns:a16="http://schemas.microsoft.com/office/drawing/2014/main" id="{443D052A-0057-4B40-8838-DF18A45DDBEC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81" name="Text Box 764">
          <a:extLst>
            <a:ext uri="{FF2B5EF4-FFF2-40B4-BE49-F238E27FC236}">
              <a16:creationId xmlns:a16="http://schemas.microsoft.com/office/drawing/2014/main" id="{96FB52CB-A2BB-47B2-B6A7-9CF979E74A62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82" name="Text Box 765">
          <a:extLst>
            <a:ext uri="{FF2B5EF4-FFF2-40B4-BE49-F238E27FC236}">
              <a16:creationId xmlns:a16="http://schemas.microsoft.com/office/drawing/2014/main" id="{0A401C84-75E9-470E-B064-1B134C28646B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83" name="Text Box 766">
          <a:extLst>
            <a:ext uri="{FF2B5EF4-FFF2-40B4-BE49-F238E27FC236}">
              <a16:creationId xmlns:a16="http://schemas.microsoft.com/office/drawing/2014/main" id="{CCD64E83-AD60-4CF9-8F22-051038269BD4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84" name="Text Box 767">
          <a:extLst>
            <a:ext uri="{FF2B5EF4-FFF2-40B4-BE49-F238E27FC236}">
              <a16:creationId xmlns:a16="http://schemas.microsoft.com/office/drawing/2014/main" id="{4AB2AE4A-B522-40B6-8771-3BF9B3C9C971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85" name="Text Box 768">
          <a:extLst>
            <a:ext uri="{FF2B5EF4-FFF2-40B4-BE49-F238E27FC236}">
              <a16:creationId xmlns:a16="http://schemas.microsoft.com/office/drawing/2014/main" id="{2662AC17-4E05-41A1-8269-93B2ABAF9EB7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86" name="Text Box 769">
          <a:extLst>
            <a:ext uri="{FF2B5EF4-FFF2-40B4-BE49-F238E27FC236}">
              <a16:creationId xmlns:a16="http://schemas.microsoft.com/office/drawing/2014/main" id="{2AD5FCC1-4514-44A4-98E7-68899331A731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87" name="Text Box 770">
          <a:extLst>
            <a:ext uri="{FF2B5EF4-FFF2-40B4-BE49-F238E27FC236}">
              <a16:creationId xmlns:a16="http://schemas.microsoft.com/office/drawing/2014/main" id="{16A46D22-7069-4903-BEC1-32315ACE9420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88" name="Text Box 771">
          <a:extLst>
            <a:ext uri="{FF2B5EF4-FFF2-40B4-BE49-F238E27FC236}">
              <a16:creationId xmlns:a16="http://schemas.microsoft.com/office/drawing/2014/main" id="{CCC30932-BCF2-4AD5-B44D-5020F47DD89F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89" name="Text Box 772">
          <a:extLst>
            <a:ext uri="{FF2B5EF4-FFF2-40B4-BE49-F238E27FC236}">
              <a16:creationId xmlns:a16="http://schemas.microsoft.com/office/drawing/2014/main" id="{DBAE4E19-5DAF-46D7-8F83-EF2D699A5203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90" name="Text Box 773">
          <a:extLst>
            <a:ext uri="{FF2B5EF4-FFF2-40B4-BE49-F238E27FC236}">
              <a16:creationId xmlns:a16="http://schemas.microsoft.com/office/drawing/2014/main" id="{92AAD7BD-5448-4448-85E9-682F4E6026A2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91" name="Text Box 774">
          <a:extLst>
            <a:ext uri="{FF2B5EF4-FFF2-40B4-BE49-F238E27FC236}">
              <a16:creationId xmlns:a16="http://schemas.microsoft.com/office/drawing/2014/main" id="{504D6CF7-69EE-45B3-9DCB-F752B6767355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92" name="Text Box 775">
          <a:extLst>
            <a:ext uri="{FF2B5EF4-FFF2-40B4-BE49-F238E27FC236}">
              <a16:creationId xmlns:a16="http://schemas.microsoft.com/office/drawing/2014/main" id="{AB839FBD-D804-4729-A670-431E0B817472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93" name="Text Box 776">
          <a:extLst>
            <a:ext uri="{FF2B5EF4-FFF2-40B4-BE49-F238E27FC236}">
              <a16:creationId xmlns:a16="http://schemas.microsoft.com/office/drawing/2014/main" id="{551B7B22-6D5D-448B-A294-C888EE2791C7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60</xdr:col>
      <xdr:colOff>0</xdr:colOff>
      <xdr:row>133</xdr:row>
      <xdr:rowOff>0</xdr:rowOff>
    </xdr:from>
    <xdr:to>
      <xdr:col>61</xdr:col>
      <xdr:colOff>323850</xdr:colOff>
      <xdr:row>134</xdr:row>
      <xdr:rowOff>0</xdr:rowOff>
    </xdr:to>
    <xdr:sp macro="" textlink="">
      <xdr:nvSpPr>
        <xdr:cNvPr id="3894" name="Text Box 777">
          <a:extLst>
            <a:ext uri="{FF2B5EF4-FFF2-40B4-BE49-F238E27FC236}">
              <a16:creationId xmlns:a16="http://schemas.microsoft.com/office/drawing/2014/main" id="{1E8396D8-7064-47C9-99E7-54FC66B657DF}"/>
            </a:ext>
          </a:extLst>
        </xdr:cNvPr>
        <xdr:cNvSpPr>
          <a:spLocks noChangeArrowheads="1"/>
        </xdr:cNvSpPr>
      </xdr:nvSpPr>
      <xdr:spPr bwMode="auto">
        <a:xfrm>
          <a:off x="37947600" y="69361050"/>
          <a:ext cx="127635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3895" name="Text Box 693">
          <a:extLst>
            <a:ext uri="{FF2B5EF4-FFF2-40B4-BE49-F238E27FC236}">
              <a16:creationId xmlns:a16="http://schemas.microsoft.com/office/drawing/2014/main" id="{F4E41CB1-B5D9-46BD-B98E-D0A8B0F869F3}"/>
            </a:ext>
          </a:extLst>
        </xdr:cNvPr>
        <xdr:cNvSpPr>
          <a:spLocks noChangeArrowheads="1"/>
        </xdr:cNvSpPr>
      </xdr:nvSpPr>
      <xdr:spPr bwMode="auto">
        <a:xfrm>
          <a:off x="13612091" y="33216273"/>
          <a:ext cx="1259032" cy="43295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3896" name="Text Box 694">
          <a:extLst>
            <a:ext uri="{FF2B5EF4-FFF2-40B4-BE49-F238E27FC236}">
              <a16:creationId xmlns:a16="http://schemas.microsoft.com/office/drawing/2014/main" id="{0F0BCA27-BB8C-4240-8557-0B294FED5463}"/>
            </a:ext>
          </a:extLst>
        </xdr:cNvPr>
        <xdr:cNvSpPr>
          <a:spLocks noChangeArrowheads="1"/>
        </xdr:cNvSpPr>
      </xdr:nvSpPr>
      <xdr:spPr bwMode="auto">
        <a:xfrm>
          <a:off x="13612091" y="33216273"/>
          <a:ext cx="1259032" cy="43295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3897" name="Text Box 695">
          <a:extLst>
            <a:ext uri="{FF2B5EF4-FFF2-40B4-BE49-F238E27FC236}">
              <a16:creationId xmlns:a16="http://schemas.microsoft.com/office/drawing/2014/main" id="{4CAE84B6-3202-4804-BFFF-7222E6A64EB8}"/>
            </a:ext>
          </a:extLst>
        </xdr:cNvPr>
        <xdr:cNvSpPr>
          <a:spLocks noChangeArrowheads="1"/>
        </xdr:cNvSpPr>
      </xdr:nvSpPr>
      <xdr:spPr bwMode="auto">
        <a:xfrm>
          <a:off x="13612091" y="33216273"/>
          <a:ext cx="1259032" cy="43295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3898" name="Text Box 696">
          <a:extLst>
            <a:ext uri="{FF2B5EF4-FFF2-40B4-BE49-F238E27FC236}">
              <a16:creationId xmlns:a16="http://schemas.microsoft.com/office/drawing/2014/main" id="{F2B0BC6D-4ACF-445F-9F23-6945BE7DD1AE}"/>
            </a:ext>
          </a:extLst>
        </xdr:cNvPr>
        <xdr:cNvSpPr>
          <a:spLocks noChangeArrowheads="1"/>
        </xdr:cNvSpPr>
      </xdr:nvSpPr>
      <xdr:spPr bwMode="auto">
        <a:xfrm>
          <a:off x="13612091" y="33216273"/>
          <a:ext cx="1259032" cy="43295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3899" name="Text Box 697">
          <a:extLst>
            <a:ext uri="{FF2B5EF4-FFF2-40B4-BE49-F238E27FC236}">
              <a16:creationId xmlns:a16="http://schemas.microsoft.com/office/drawing/2014/main" id="{26FFFD77-BB50-4A41-940A-B0FC4DF06AA4}"/>
            </a:ext>
          </a:extLst>
        </xdr:cNvPr>
        <xdr:cNvSpPr>
          <a:spLocks noChangeArrowheads="1"/>
        </xdr:cNvSpPr>
      </xdr:nvSpPr>
      <xdr:spPr bwMode="auto">
        <a:xfrm>
          <a:off x="13612091" y="33216273"/>
          <a:ext cx="1259032" cy="43295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3900" name="Text Box 698">
          <a:extLst>
            <a:ext uri="{FF2B5EF4-FFF2-40B4-BE49-F238E27FC236}">
              <a16:creationId xmlns:a16="http://schemas.microsoft.com/office/drawing/2014/main" id="{4E275AD4-E6D6-4698-8F5E-05DD8C294807}"/>
            </a:ext>
          </a:extLst>
        </xdr:cNvPr>
        <xdr:cNvSpPr>
          <a:spLocks noChangeArrowheads="1"/>
        </xdr:cNvSpPr>
      </xdr:nvSpPr>
      <xdr:spPr bwMode="auto">
        <a:xfrm>
          <a:off x="13612091" y="33216273"/>
          <a:ext cx="1259032" cy="43295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3901" name="Text Box 699">
          <a:extLst>
            <a:ext uri="{FF2B5EF4-FFF2-40B4-BE49-F238E27FC236}">
              <a16:creationId xmlns:a16="http://schemas.microsoft.com/office/drawing/2014/main" id="{3DFB5B66-5DA0-46FA-B98F-2B7AD1DA62A9}"/>
            </a:ext>
          </a:extLst>
        </xdr:cNvPr>
        <xdr:cNvSpPr>
          <a:spLocks noChangeArrowheads="1"/>
        </xdr:cNvSpPr>
      </xdr:nvSpPr>
      <xdr:spPr bwMode="auto">
        <a:xfrm>
          <a:off x="13612091" y="33216273"/>
          <a:ext cx="1259032" cy="43295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3902" name="Text Box 700">
          <a:extLst>
            <a:ext uri="{FF2B5EF4-FFF2-40B4-BE49-F238E27FC236}">
              <a16:creationId xmlns:a16="http://schemas.microsoft.com/office/drawing/2014/main" id="{8C00FC29-A541-483A-B27A-5CB54BD30CEE}"/>
            </a:ext>
          </a:extLst>
        </xdr:cNvPr>
        <xdr:cNvSpPr>
          <a:spLocks noChangeArrowheads="1"/>
        </xdr:cNvSpPr>
      </xdr:nvSpPr>
      <xdr:spPr bwMode="auto">
        <a:xfrm>
          <a:off x="13612091" y="33216273"/>
          <a:ext cx="1259032" cy="43295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3903" name="Text Box 701">
          <a:extLst>
            <a:ext uri="{FF2B5EF4-FFF2-40B4-BE49-F238E27FC236}">
              <a16:creationId xmlns:a16="http://schemas.microsoft.com/office/drawing/2014/main" id="{A99C820B-7914-4905-BAD1-2EF940865550}"/>
            </a:ext>
          </a:extLst>
        </xdr:cNvPr>
        <xdr:cNvSpPr>
          <a:spLocks noChangeArrowheads="1"/>
        </xdr:cNvSpPr>
      </xdr:nvSpPr>
      <xdr:spPr bwMode="auto">
        <a:xfrm>
          <a:off x="13612091" y="33216273"/>
          <a:ext cx="1259032" cy="43295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3904" name="Text Box 702">
          <a:extLst>
            <a:ext uri="{FF2B5EF4-FFF2-40B4-BE49-F238E27FC236}">
              <a16:creationId xmlns:a16="http://schemas.microsoft.com/office/drawing/2014/main" id="{7E7CA684-487C-411E-B06F-C5E9373E372E}"/>
            </a:ext>
          </a:extLst>
        </xdr:cNvPr>
        <xdr:cNvSpPr>
          <a:spLocks noChangeArrowheads="1"/>
        </xdr:cNvSpPr>
      </xdr:nvSpPr>
      <xdr:spPr bwMode="auto">
        <a:xfrm>
          <a:off x="13612091" y="33216273"/>
          <a:ext cx="1259032" cy="43295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3905" name="Text Box 703">
          <a:extLst>
            <a:ext uri="{FF2B5EF4-FFF2-40B4-BE49-F238E27FC236}">
              <a16:creationId xmlns:a16="http://schemas.microsoft.com/office/drawing/2014/main" id="{9440EE4A-764F-4AE6-BAB2-164EC1F261F7}"/>
            </a:ext>
          </a:extLst>
        </xdr:cNvPr>
        <xdr:cNvSpPr>
          <a:spLocks noChangeArrowheads="1"/>
        </xdr:cNvSpPr>
      </xdr:nvSpPr>
      <xdr:spPr bwMode="auto">
        <a:xfrm>
          <a:off x="13612091" y="33216273"/>
          <a:ext cx="1259032" cy="43295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3906" name="Text Box 704">
          <a:extLst>
            <a:ext uri="{FF2B5EF4-FFF2-40B4-BE49-F238E27FC236}">
              <a16:creationId xmlns:a16="http://schemas.microsoft.com/office/drawing/2014/main" id="{9FEA6550-F805-49FA-B14F-7BE7B4E4719F}"/>
            </a:ext>
          </a:extLst>
        </xdr:cNvPr>
        <xdr:cNvSpPr>
          <a:spLocks noChangeArrowheads="1"/>
        </xdr:cNvSpPr>
      </xdr:nvSpPr>
      <xdr:spPr bwMode="auto">
        <a:xfrm>
          <a:off x="13612091" y="33216273"/>
          <a:ext cx="1259032" cy="43295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3907" name="Text Box 705">
          <a:extLst>
            <a:ext uri="{FF2B5EF4-FFF2-40B4-BE49-F238E27FC236}">
              <a16:creationId xmlns:a16="http://schemas.microsoft.com/office/drawing/2014/main" id="{DCEFB752-9A8D-45EE-8DA8-4CE44D785B91}"/>
            </a:ext>
          </a:extLst>
        </xdr:cNvPr>
        <xdr:cNvSpPr>
          <a:spLocks noChangeArrowheads="1"/>
        </xdr:cNvSpPr>
      </xdr:nvSpPr>
      <xdr:spPr bwMode="auto">
        <a:xfrm>
          <a:off x="13612091" y="33216273"/>
          <a:ext cx="1259032" cy="43295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3908" name="Text Box 706">
          <a:extLst>
            <a:ext uri="{FF2B5EF4-FFF2-40B4-BE49-F238E27FC236}">
              <a16:creationId xmlns:a16="http://schemas.microsoft.com/office/drawing/2014/main" id="{CAAA0EAB-D7E3-44F4-BB40-5F9997E3A26D}"/>
            </a:ext>
          </a:extLst>
        </xdr:cNvPr>
        <xdr:cNvSpPr>
          <a:spLocks noChangeArrowheads="1"/>
        </xdr:cNvSpPr>
      </xdr:nvSpPr>
      <xdr:spPr bwMode="auto">
        <a:xfrm>
          <a:off x="13612091" y="33216273"/>
          <a:ext cx="1259032" cy="43295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3909" name="Text Box 707">
          <a:extLst>
            <a:ext uri="{FF2B5EF4-FFF2-40B4-BE49-F238E27FC236}">
              <a16:creationId xmlns:a16="http://schemas.microsoft.com/office/drawing/2014/main" id="{36ED612B-137C-47D7-95A3-EB3AD1870C1A}"/>
            </a:ext>
          </a:extLst>
        </xdr:cNvPr>
        <xdr:cNvSpPr>
          <a:spLocks noChangeArrowheads="1"/>
        </xdr:cNvSpPr>
      </xdr:nvSpPr>
      <xdr:spPr bwMode="auto">
        <a:xfrm>
          <a:off x="13612091" y="33216273"/>
          <a:ext cx="1259032" cy="43295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3910" name="Text Box 708">
          <a:extLst>
            <a:ext uri="{FF2B5EF4-FFF2-40B4-BE49-F238E27FC236}">
              <a16:creationId xmlns:a16="http://schemas.microsoft.com/office/drawing/2014/main" id="{CA914D5C-8552-4FAD-9296-125BF66D8360}"/>
            </a:ext>
          </a:extLst>
        </xdr:cNvPr>
        <xdr:cNvSpPr>
          <a:spLocks noChangeArrowheads="1"/>
        </xdr:cNvSpPr>
      </xdr:nvSpPr>
      <xdr:spPr bwMode="auto">
        <a:xfrm>
          <a:off x="13612091" y="33216273"/>
          <a:ext cx="1259032" cy="43295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3911" name="Text Box 709">
          <a:extLst>
            <a:ext uri="{FF2B5EF4-FFF2-40B4-BE49-F238E27FC236}">
              <a16:creationId xmlns:a16="http://schemas.microsoft.com/office/drawing/2014/main" id="{2D9B3B7C-D517-46AA-AB02-D43A6480BEB2}"/>
            </a:ext>
          </a:extLst>
        </xdr:cNvPr>
        <xdr:cNvSpPr>
          <a:spLocks noChangeArrowheads="1"/>
        </xdr:cNvSpPr>
      </xdr:nvSpPr>
      <xdr:spPr bwMode="auto">
        <a:xfrm>
          <a:off x="13612091" y="33216273"/>
          <a:ext cx="1259032" cy="43295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3912" name="Text Box 710">
          <a:extLst>
            <a:ext uri="{FF2B5EF4-FFF2-40B4-BE49-F238E27FC236}">
              <a16:creationId xmlns:a16="http://schemas.microsoft.com/office/drawing/2014/main" id="{7BED921A-BC88-46EF-9FD9-0DBEA8158E1C}"/>
            </a:ext>
          </a:extLst>
        </xdr:cNvPr>
        <xdr:cNvSpPr>
          <a:spLocks noChangeArrowheads="1"/>
        </xdr:cNvSpPr>
      </xdr:nvSpPr>
      <xdr:spPr bwMode="auto">
        <a:xfrm>
          <a:off x="13612091" y="33216273"/>
          <a:ext cx="1259032" cy="43295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3913" name="Text Box 711">
          <a:extLst>
            <a:ext uri="{FF2B5EF4-FFF2-40B4-BE49-F238E27FC236}">
              <a16:creationId xmlns:a16="http://schemas.microsoft.com/office/drawing/2014/main" id="{6B0F3254-EEDE-4BDB-8347-3E509502DCDD}"/>
            </a:ext>
          </a:extLst>
        </xdr:cNvPr>
        <xdr:cNvSpPr>
          <a:spLocks noChangeArrowheads="1"/>
        </xdr:cNvSpPr>
      </xdr:nvSpPr>
      <xdr:spPr bwMode="auto">
        <a:xfrm>
          <a:off x="13612091" y="33216273"/>
          <a:ext cx="1259032" cy="43295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3914" name="Text Box 712">
          <a:extLst>
            <a:ext uri="{FF2B5EF4-FFF2-40B4-BE49-F238E27FC236}">
              <a16:creationId xmlns:a16="http://schemas.microsoft.com/office/drawing/2014/main" id="{64F2B0B6-907A-4680-B5A3-F87941BDD6DD}"/>
            </a:ext>
          </a:extLst>
        </xdr:cNvPr>
        <xdr:cNvSpPr>
          <a:spLocks noChangeArrowheads="1"/>
        </xdr:cNvSpPr>
      </xdr:nvSpPr>
      <xdr:spPr bwMode="auto">
        <a:xfrm>
          <a:off x="13612091" y="33216273"/>
          <a:ext cx="1259032" cy="43295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3915" name="Text Box 713">
          <a:extLst>
            <a:ext uri="{FF2B5EF4-FFF2-40B4-BE49-F238E27FC236}">
              <a16:creationId xmlns:a16="http://schemas.microsoft.com/office/drawing/2014/main" id="{B6D0A3EB-23F9-4972-92E2-E1FD420AA1BD}"/>
            </a:ext>
          </a:extLst>
        </xdr:cNvPr>
        <xdr:cNvSpPr>
          <a:spLocks noChangeArrowheads="1"/>
        </xdr:cNvSpPr>
      </xdr:nvSpPr>
      <xdr:spPr bwMode="auto">
        <a:xfrm>
          <a:off x="13612091" y="33216273"/>
          <a:ext cx="1259032" cy="43295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3916" name="Text Box 714">
          <a:extLst>
            <a:ext uri="{FF2B5EF4-FFF2-40B4-BE49-F238E27FC236}">
              <a16:creationId xmlns:a16="http://schemas.microsoft.com/office/drawing/2014/main" id="{53FCF73C-7DA0-4341-B87E-11F21AB321B1}"/>
            </a:ext>
          </a:extLst>
        </xdr:cNvPr>
        <xdr:cNvSpPr>
          <a:spLocks noChangeArrowheads="1"/>
        </xdr:cNvSpPr>
      </xdr:nvSpPr>
      <xdr:spPr bwMode="auto">
        <a:xfrm>
          <a:off x="13612091" y="33216273"/>
          <a:ext cx="1259032" cy="43295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3917" name="Text Box 715">
          <a:extLst>
            <a:ext uri="{FF2B5EF4-FFF2-40B4-BE49-F238E27FC236}">
              <a16:creationId xmlns:a16="http://schemas.microsoft.com/office/drawing/2014/main" id="{42A9CB51-473C-4EBF-A5DF-A548F0B67F04}"/>
            </a:ext>
          </a:extLst>
        </xdr:cNvPr>
        <xdr:cNvSpPr>
          <a:spLocks noChangeArrowheads="1"/>
        </xdr:cNvSpPr>
      </xdr:nvSpPr>
      <xdr:spPr bwMode="auto">
        <a:xfrm>
          <a:off x="13612091" y="33216273"/>
          <a:ext cx="1259032" cy="43295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3918" name="Text Box 716">
          <a:extLst>
            <a:ext uri="{FF2B5EF4-FFF2-40B4-BE49-F238E27FC236}">
              <a16:creationId xmlns:a16="http://schemas.microsoft.com/office/drawing/2014/main" id="{994CF4F0-0F25-4482-BA4E-EAED83974755}"/>
            </a:ext>
          </a:extLst>
        </xdr:cNvPr>
        <xdr:cNvSpPr>
          <a:spLocks noChangeArrowheads="1"/>
        </xdr:cNvSpPr>
      </xdr:nvSpPr>
      <xdr:spPr bwMode="auto">
        <a:xfrm>
          <a:off x="13612091" y="33216273"/>
          <a:ext cx="1259032" cy="43295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3919" name="Text Box 717">
          <a:extLst>
            <a:ext uri="{FF2B5EF4-FFF2-40B4-BE49-F238E27FC236}">
              <a16:creationId xmlns:a16="http://schemas.microsoft.com/office/drawing/2014/main" id="{322B9AB1-7130-4BE3-9D70-E8BA5853472E}"/>
            </a:ext>
          </a:extLst>
        </xdr:cNvPr>
        <xdr:cNvSpPr>
          <a:spLocks noChangeArrowheads="1"/>
        </xdr:cNvSpPr>
      </xdr:nvSpPr>
      <xdr:spPr bwMode="auto">
        <a:xfrm>
          <a:off x="13612091" y="33216273"/>
          <a:ext cx="1259032" cy="43295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3920" name="Text Box 718">
          <a:extLst>
            <a:ext uri="{FF2B5EF4-FFF2-40B4-BE49-F238E27FC236}">
              <a16:creationId xmlns:a16="http://schemas.microsoft.com/office/drawing/2014/main" id="{74AC7BF7-CF3A-4290-AF0F-9FAB10E3E9A6}"/>
            </a:ext>
          </a:extLst>
        </xdr:cNvPr>
        <xdr:cNvSpPr>
          <a:spLocks noChangeArrowheads="1"/>
        </xdr:cNvSpPr>
      </xdr:nvSpPr>
      <xdr:spPr bwMode="auto">
        <a:xfrm>
          <a:off x="13612091" y="33216273"/>
          <a:ext cx="1259032" cy="43295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3921" name="Text Box 719">
          <a:extLst>
            <a:ext uri="{FF2B5EF4-FFF2-40B4-BE49-F238E27FC236}">
              <a16:creationId xmlns:a16="http://schemas.microsoft.com/office/drawing/2014/main" id="{B319AB96-4244-4234-9B99-2DD3E777B0AB}"/>
            </a:ext>
          </a:extLst>
        </xdr:cNvPr>
        <xdr:cNvSpPr>
          <a:spLocks noChangeArrowheads="1"/>
        </xdr:cNvSpPr>
      </xdr:nvSpPr>
      <xdr:spPr bwMode="auto">
        <a:xfrm>
          <a:off x="13612091" y="33216273"/>
          <a:ext cx="1259032" cy="43295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3922" name="Text Box 720">
          <a:extLst>
            <a:ext uri="{FF2B5EF4-FFF2-40B4-BE49-F238E27FC236}">
              <a16:creationId xmlns:a16="http://schemas.microsoft.com/office/drawing/2014/main" id="{7153909C-3F32-41C8-8A1A-E1D86455EF80}"/>
            </a:ext>
          </a:extLst>
        </xdr:cNvPr>
        <xdr:cNvSpPr>
          <a:spLocks noChangeArrowheads="1"/>
        </xdr:cNvSpPr>
      </xdr:nvSpPr>
      <xdr:spPr bwMode="auto">
        <a:xfrm>
          <a:off x="13612091" y="33216273"/>
          <a:ext cx="1259032" cy="43295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3923" name="Text Box 721">
          <a:extLst>
            <a:ext uri="{FF2B5EF4-FFF2-40B4-BE49-F238E27FC236}">
              <a16:creationId xmlns:a16="http://schemas.microsoft.com/office/drawing/2014/main" id="{CF338945-92C6-435B-B3FB-0D7A497807D1}"/>
            </a:ext>
          </a:extLst>
        </xdr:cNvPr>
        <xdr:cNvSpPr>
          <a:spLocks noChangeArrowheads="1"/>
        </xdr:cNvSpPr>
      </xdr:nvSpPr>
      <xdr:spPr bwMode="auto">
        <a:xfrm>
          <a:off x="13612091" y="33216273"/>
          <a:ext cx="1259032" cy="43295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3924" name="Text Box 722">
          <a:extLst>
            <a:ext uri="{FF2B5EF4-FFF2-40B4-BE49-F238E27FC236}">
              <a16:creationId xmlns:a16="http://schemas.microsoft.com/office/drawing/2014/main" id="{A8444B47-CB40-433F-A933-F2D8F442F734}"/>
            </a:ext>
          </a:extLst>
        </xdr:cNvPr>
        <xdr:cNvSpPr>
          <a:spLocks noChangeArrowheads="1"/>
        </xdr:cNvSpPr>
      </xdr:nvSpPr>
      <xdr:spPr bwMode="auto">
        <a:xfrm>
          <a:off x="13612091" y="33216273"/>
          <a:ext cx="1259032" cy="43295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3925" name="Text Box 723">
          <a:extLst>
            <a:ext uri="{FF2B5EF4-FFF2-40B4-BE49-F238E27FC236}">
              <a16:creationId xmlns:a16="http://schemas.microsoft.com/office/drawing/2014/main" id="{96312C79-CEC6-4B2F-AF70-C78CBCBAB8F8}"/>
            </a:ext>
          </a:extLst>
        </xdr:cNvPr>
        <xdr:cNvSpPr>
          <a:spLocks noChangeArrowheads="1"/>
        </xdr:cNvSpPr>
      </xdr:nvSpPr>
      <xdr:spPr bwMode="auto">
        <a:xfrm>
          <a:off x="13612091" y="33216273"/>
          <a:ext cx="1259032" cy="43295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3926" name="Text Box 724">
          <a:extLst>
            <a:ext uri="{FF2B5EF4-FFF2-40B4-BE49-F238E27FC236}">
              <a16:creationId xmlns:a16="http://schemas.microsoft.com/office/drawing/2014/main" id="{CD72DAB8-5E09-4E19-9DBF-1060F76718C4}"/>
            </a:ext>
          </a:extLst>
        </xdr:cNvPr>
        <xdr:cNvSpPr>
          <a:spLocks noChangeArrowheads="1"/>
        </xdr:cNvSpPr>
      </xdr:nvSpPr>
      <xdr:spPr bwMode="auto">
        <a:xfrm>
          <a:off x="13612091" y="33216273"/>
          <a:ext cx="1259032" cy="43295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3927" name="Text Box 725">
          <a:extLst>
            <a:ext uri="{FF2B5EF4-FFF2-40B4-BE49-F238E27FC236}">
              <a16:creationId xmlns:a16="http://schemas.microsoft.com/office/drawing/2014/main" id="{3C9A6C5E-2B32-45D8-8190-D0205E2A8736}"/>
            </a:ext>
          </a:extLst>
        </xdr:cNvPr>
        <xdr:cNvSpPr>
          <a:spLocks noChangeArrowheads="1"/>
        </xdr:cNvSpPr>
      </xdr:nvSpPr>
      <xdr:spPr bwMode="auto">
        <a:xfrm>
          <a:off x="13612091" y="33216273"/>
          <a:ext cx="1259032" cy="43295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3928" name="Text Box 726">
          <a:extLst>
            <a:ext uri="{FF2B5EF4-FFF2-40B4-BE49-F238E27FC236}">
              <a16:creationId xmlns:a16="http://schemas.microsoft.com/office/drawing/2014/main" id="{939FCD57-19E1-449E-8B53-5E42246E36EB}"/>
            </a:ext>
          </a:extLst>
        </xdr:cNvPr>
        <xdr:cNvSpPr>
          <a:spLocks noChangeArrowheads="1"/>
        </xdr:cNvSpPr>
      </xdr:nvSpPr>
      <xdr:spPr bwMode="auto">
        <a:xfrm>
          <a:off x="13612091" y="33216273"/>
          <a:ext cx="1259032" cy="43295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3929" name="Text Box 727">
          <a:extLst>
            <a:ext uri="{FF2B5EF4-FFF2-40B4-BE49-F238E27FC236}">
              <a16:creationId xmlns:a16="http://schemas.microsoft.com/office/drawing/2014/main" id="{4801B5CC-85A3-4024-8A03-A265A30F226D}"/>
            </a:ext>
          </a:extLst>
        </xdr:cNvPr>
        <xdr:cNvSpPr>
          <a:spLocks noChangeArrowheads="1"/>
        </xdr:cNvSpPr>
      </xdr:nvSpPr>
      <xdr:spPr bwMode="auto">
        <a:xfrm>
          <a:off x="13612091" y="33216273"/>
          <a:ext cx="1259032" cy="43295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3930" name="Text Box 728">
          <a:extLst>
            <a:ext uri="{FF2B5EF4-FFF2-40B4-BE49-F238E27FC236}">
              <a16:creationId xmlns:a16="http://schemas.microsoft.com/office/drawing/2014/main" id="{8091AC4B-1D77-46AB-B422-CC97D19E2FB1}"/>
            </a:ext>
          </a:extLst>
        </xdr:cNvPr>
        <xdr:cNvSpPr>
          <a:spLocks noChangeArrowheads="1"/>
        </xdr:cNvSpPr>
      </xdr:nvSpPr>
      <xdr:spPr bwMode="auto">
        <a:xfrm>
          <a:off x="13612091" y="33216273"/>
          <a:ext cx="1259032" cy="43295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3931" name="Text Box 729">
          <a:extLst>
            <a:ext uri="{FF2B5EF4-FFF2-40B4-BE49-F238E27FC236}">
              <a16:creationId xmlns:a16="http://schemas.microsoft.com/office/drawing/2014/main" id="{499A863F-68BB-4DA5-8774-5CEBB9EDA07D}"/>
            </a:ext>
          </a:extLst>
        </xdr:cNvPr>
        <xdr:cNvSpPr>
          <a:spLocks noChangeArrowheads="1"/>
        </xdr:cNvSpPr>
      </xdr:nvSpPr>
      <xdr:spPr bwMode="auto">
        <a:xfrm>
          <a:off x="13612091" y="33216273"/>
          <a:ext cx="1259032" cy="43295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3932" name="Text Box 730">
          <a:extLst>
            <a:ext uri="{FF2B5EF4-FFF2-40B4-BE49-F238E27FC236}">
              <a16:creationId xmlns:a16="http://schemas.microsoft.com/office/drawing/2014/main" id="{7D750BE4-4FEF-48E1-B4A2-922FCC9A43B6}"/>
            </a:ext>
          </a:extLst>
        </xdr:cNvPr>
        <xdr:cNvSpPr>
          <a:spLocks noChangeArrowheads="1"/>
        </xdr:cNvSpPr>
      </xdr:nvSpPr>
      <xdr:spPr bwMode="auto">
        <a:xfrm>
          <a:off x="13612091" y="33216273"/>
          <a:ext cx="1259032" cy="43295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3933" name="Text Box 731">
          <a:extLst>
            <a:ext uri="{FF2B5EF4-FFF2-40B4-BE49-F238E27FC236}">
              <a16:creationId xmlns:a16="http://schemas.microsoft.com/office/drawing/2014/main" id="{3B3EACCB-320C-4789-A73E-B9BE5F925C27}"/>
            </a:ext>
          </a:extLst>
        </xdr:cNvPr>
        <xdr:cNvSpPr>
          <a:spLocks noChangeArrowheads="1"/>
        </xdr:cNvSpPr>
      </xdr:nvSpPr>
      <xdr:spPr bwMode="auto">
        <a:xfrm>
          <a:off x="13612091" y="33216273"/>
          <a:ext cx="1259032" cy="43295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3934" name="Text Box 732">
          <a:extLst>
            <a:ext uri="{FF2B5EF4-FFF2-40B4-BE49-F238E27FC236}">
              <a16:creationId xmlns:a16="http://schemas.microsoft.com/office/drawing/2014/main" id="{14FA9F23-5545-4827-A0BD-B8054935C621}"/>
            </a:ext>
          </a:extLst>
        </xdr:cNvPr>
        <xdr:cNvSpPr>
          <a:spLocks noChangeArrowheads="1"/>
        </xdr:cNvSpPr>
      </xdr:nvSpPr>
      <xdr:spPr bwMode="auto">
        <a:xfrm>
          <a:off x="13612091" y="33216273"/>
          <a:ext cx="1259032" cy="43295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3935" name="Text Box 733">
          <a:extLst>
            <a:ext uri="{FF2B5EF4-FFF2-40B4-BE49-F238E27FC236}">
              <a16:creationId xmlns:a16="http://schemas.microsoft.com/office/drawing/2014/main" id="{38192243-2121-4927-AC7E-FA4D12E0D8FE}"/>
            </a:ext>
          </a:extLst>
        </xdr:cNvPr>
        <xdr:cNvSpPr>
          <a:spLocks noChangeArrowheads="1"/>
        </xdr:cNvSpPr>
      </xdr:nvSpPr>
      <xdr:spPr bwMode="auto">
        <a:xfrm>
          <a:off x="13612091" y="33216273"/>
          <a:ext cx="1259032" cy="43295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3936" name="Text Box 734">
          <a:extLst>
            <a:ext uri="{FF2B5EF4-FFF2-40B4-BE49-F238E27FC236}">
              <a16:creationId xmlns:a16="http://schemas.microsoft.com/office/drawing/2014/main" id="{B39243B4-2AE0-475F-8DA5-58551C3D8CF0}"/>
            </a:ext>
          </a:extLst>
        </xdr:cNvPr>
        <xdr:cNvSpPr>
          <a:spLocks noChangeArrowheads="1"/>
        </xdr:cNvSpPr>
      </xdr:nvSpPr>
      <xdr:spPr bwMode="auto">
        <a:xfrm>
          <a:off x="13612091" y="33216273"/>
          <a:ext cx="1259032" cy="43295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3937" name="Text Box 735">
          <a:extLst>
            <a:ext uri="{FF2B5EF4-FFF2-40B4-BE49-F238E27FC236}">
              <a16:creationId xmlns:a16="http://schemas.microsoft.com/office/drawing/2014/main" id="{BD400182-80DD-4012-8D0E-97213665415F}"/>
            </a:ext>
          </a:extLst>
        </xdr:cNvPr>
        <xdr:cNvSpPr>
          <a:spLocks noChangeArrowheads="1"/>
        </xdr:cNvSpPr>
      </xdr:nvSpPr>
      <xdr:spPr bwMode="auto">
        <a:xfrm>
          <a:off x="13612091" y="33216273"/>
          <a:ext cx="1259032" cy="43295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3938" name="Text Box 736">
          <a:extLst>
            <a:ext uri="{FF2B5EF4-FFF2-40B4-BE49-F238E27FC236}">
              <a16:creationId xmlns:a16="http://schemas.microsoft.com/office/drawing/2014/main" id="{FEAE284B-95F5-4FFF-A99E-08D957921A95}"/>
            </a:ext>
          </a:extLst>
        </xdr:cNvPr>
        <xdr:cNvSpPr>
          <a:spLocks noChangeArrowheads="1"/>
        </xdr:cNvSpPr>
      </xdr:nvSpPr>
      <xdr:spPr bwMode="auto">
        <a:xfrm>
          <a:off x="13612091" y="33216273"/>
          <a:ext cx="1259032" cy="43295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3939" name="Text Box 737">
          <a:extLst>
            <a:ext uri="{FF2B5EF4-FFF2-40B4-BE49-F238E27FC236}">
              <a16:creationId xmlns:a16="http://schemas.microsoft.com/office/drawing/2014/main" id="{5930195B-F74E-4F99-9A91-6B2DE70AA6AC}"/>
            </a:ext>
          </a:extLst>
        </xdr:cNvPr>
        <xdr:cNvSpPr>
          <a:spLocks noChangeArrowheads="1"/>
        </xdr:cNvSpPr>
      </xdr:nvSpPr>
      <xdr:spPr bwMode="auto">
        <a:xfrm>
          <a:off x="13612091" y="33216273"/>
          <a:ext cx="1259032" cy="43295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3940" name="Text Box 738">
          <a:extLst>
            <a:ext uri="{FF2B5EF4-FFF2-40B4-BE49-F238E27FC236}">
              <a16:creationId xmlns:a16="http://schemas.microsoft.com/office/drawing/2014/main" id="{54FC1EE7-54F8-4653-90A9-360ADEBC78A3}"/>
            </a:ext>
          </a:extLst>
        </xdr:cNvPr>
        <xdr:cNvSpPr>
          <a:spLocks noChangeArrowheads="1"/>
        </xdr:cNvSpPr>
      </xdr:nvSpPr>
      <xdr:spPr bwMode="auto">
        <a:xfrm>
          <a:off x="13612091" y="33216273"/>
          <a:ext cx="1259032" cy="43295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3941" name="Text Box 739">
          <a:extLst>
            <a:ext uri="{FF2B5EF4-FFF2-40B4-BE49-F238E27FC236}">
              <a16:creationId xmlns:a16="http://schemas.microsoft.com/office/drawing/2014/main" id="{D8270F45-B501-470D-A9FE-98ED2AAFB3DC}"/>
            </a:ext>
          </a:extLst>
        </xdr:cNvPr>
        <xdr:cNvSpPr>
          <a:spLocks noChangeArrowheads="1"/>
        </xdr:cNvSpPr>
      </xdr:nvSpPr>
      <xdr:spPr bwMode="auto">
        <a:xfrm>
          <a:off x="13612091" y="33216273"/>
          <a:ext cx="1259032" cy="43295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3942" name="Text Box 740">
          <a:extLst>
            <a:ext uri="{FF2B5EF4-FFF2-40B4-BE49-F238E27FC236}">
              <a16:creationId xmlns:a16="http://schemas.microsoft.com/office/drawing/2014/main" id="{56008FF0-E408-40E6-A402-1314DB646553}"/>
            </a:ext>
          </a:extLst>
        </xdr:cNvPr>
        <xdr:cNvSpPr>
          <a:spLocks noChangeArrowheads="1"/>
        </xdr:cNvSpPr>
      </xdr:nvSpPr>
      <xdr:spPr bwMode="auto">
        <a:xfrm>
          <a:off x="13612091" y="33216273"/>
          <a:ext cx="1259032" cy="43295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3943" name="Text Box 741">
          <a:extLst>
            <a:ext uri="{FF2B5EF4-FFF2-40B4-BE49-F238E27FC236}">
              <a16:creationId xmlns:a16="http://schemas.microsoft.com/office/drawing/2014/main" id="{12B60212-4131-47BF-87F3-FEB5A744AE20}"/>
            </a:ext>
          </a:extLst>
        </xdr:cNvPr>
        <xdr:cNvSpPr>
          <a:spLocks noChangeArrowheads="1"/>
        </xdr:cNvSpPr>
      </xdr:nvSpPr>
      <xdr:spPr bwMode="auto">
        <a:xfrm>
          <a:off x="13612091" y="33216273"/>
          <a:ext cx="1259032" cy="43295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3944" name="Text Box 742">
          <a:extLst>
            <a:ext uri="{FF2B5EF4-FFF2-40B4-BE49-F238E27FC236}">
              <a16:creationId xmlns:a16="http://schemas.microsoft.com/office/drawing/2014/main" id="{07DD6C41-7BBE-4E97-A1C9-20303AD19A13}"/>
            </a:ext>
          </a:extLst>
        </xdr:cNvPr>
        <xdr:cNvSpPr>
          <a:spLocks noChangeArrowheads="1"/>
        </xdr:cNvSpPr>
      </xdr:nvSpPr>
      <xdr:spPr bwMode="auto">
        <a:xfrm>
          <a:off x="13612091" y="33216273"/>
          <a:ext cx="1259032" cy="43295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3945" name="Text Box 743">
          <a:extLst>
            <a:ext uri="{FF2B5EF4-FFF2-40B4-BE49-F238E27FC236}">
              <a16:creationId xmlns:a16="http://schemas.microsoft.com/office/drawing/2014/main" id="{C4804779-E92C-40EE-A6C9-2E9A78595DBF}"/>
            </a:ext>
          </a:extLst>
        </xdr:cNvPr>
        <xdr:cNvSpPr>
          <a:spLocks noChangeArrowheads="1"/>
        </xdr:cNvSpPr>
      </xdr:nvSpPr>
      <xdr:spPr bwMode="auto">
        <a:xfrm>
          <a:off x="13612091" y="33216273"/>
          <a:ext cx="1259032" cy="43295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3946" name="Text Box 744">
          <a:extLst>
            <a:ext uri="{FF2B5EF4-FFF2-40B4-BE49-F238E27FC236}">
              <a16:creationId xmlns:a16="http://schemas.microsoft.com/office/drawing/2014/main" id="{0AC5FAF4-57D8-40B2-856E-0C63492C69B8}"/>
            </a:ext>
          </a:extLst>
        </xdr:cNvPr>
        <xdr:cNvSpPr>
          <a:spLocks noChangeArrowheads="1"/>
        </xdr:cNvSpPr>
      </xdr:nvSpPr>
      <xdr:spPr bwMode="auto">
        <a:xfrm>
          <a:off x="13612091" y="33216273"/>
          <a:ext cx="1259032" cy="43295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3947" name="Text Box 745">
          <a:extLst>
            <a:ext uri="{FF2B5EF4-FFF2-40B4-BE49-F238E27FC236}">
              <a16:creationId xmlns:a16="http://schemas.microsoft.com/office/drawing/2014/main" id="{3ABDF3B1-2779-4151-8109-13868C166DC0}"/>
            </a:ext>
          </a:extLst>
        </xdr:cNvPr>
        <xdr:cNvSpPr>
          <a:spLocks noChangeArrowheads="1"/>
        </xdr:cNvSpPr>
      </xdr:nvSpPr>
      <xdr:spPr bwMode="auto">
        <a:xfrm>
          <a:off x="13612091" y="33216273"/>
          <a:ext cx="1259032" cy="43295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3948" name="Text Box 746">
          <a:extLst>
            <a:ext uri="{FF2B5EF4-FFF2-40B4-BE49-F238E27FC236}">
              <a16:creationId xmlns:a16="http://schemas.microsoft.com/office/drawing/2014/main" id="{E9D01934-61DE-47AA-8488-44C1ACF57717}"/>
            </a:ext>
          </a:extLst>
        </xdr:cNvPr>
        <xdr:cNvSpPr>
          <a:spLocks noChangeArrowheads="1"/>
        </xdr:cNvSpPr>
      </xdr:nvSpPr>
      <xdr:spPr bwMode="auto">
        <a:xfrm>
          <a:off x="13612091" y="33216273"/>
          <a:ext cx="1259032" cy="43295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3949" name="Text Box 747">
          <a:extLst>
            <a:ext uri="{FF2B5EF4-FFF2-40B4-BE49-F238E27FC236}">
              <a16:creationId xmlns:a16="http://schemas.microsoft.com/office/drawing/2014/main" id="{9E905B3C-6E2A-46B4-BEBF-BB9C7E0A1AAE}"/>
            </a:ext>
          </a:extLst>
        </xdr:cNvPr>
        <xdr:cNvSpPr>
          <a:spLocks noChangeArrowheads="1"/>
        </xdr:cNvSpPr>
      </xdr:nvSpPr>
      <xdr:spPr bwMode="auto">
        <a:xfrm>
          <a:off x="13612091" y="33216273"/>
          <a:ext cx="1259032" cy="43295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3950" name="Text Box 748">
          <a:extLst>
            <a:ext uri="{FF2B5EF4-FFF2-40B4-BE49-F238E27FC236}">
              <a16:creationId xmlns:a16="http://schemas.microsoft.com/office/drawing/2014/main" id="{24160F03-DBEA-4C00-8976-A4C8883E5D0F}"/>
            </a:ext>
          </a:extLst>
        </xdr:cNvPr>
        <xdr:cNvSpPr>
          <a:spLocks noChangeArrowheads="1"/>
        </xdr:cNvSpPr>
      </xdr:nvSpPr>
      <xdr:spPr bwMode="auto">
        <a:xfrm>
          <a:off x="13612091" y="33216273"/>
          <a:ext cx="1259032" cy="43295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3951" name="Text Box 749">
          <a:extLst>
            <a:ext uri="{FF2B5EF4-FFF2-40B4-BE49-F238E27FC236}">
              <a16:creationId xmlns:a16="http://schemas.microsoft.com/office/drawing/2014/main" id="{C8EB6548-7900-4CB1-AC22-D6258DF88833}"/>
            </a:ext>
          </a:extLst>
        </xdr:cNvPr>
        <xdr:cNvSpPr>
          <a:spLocks noChangeArrowheads="1"/>
        </xdr:cNvSpPr>
      </xdr:nvSpPr>
      <xdr:spPr bwMode="auto">
        <a:xfrm>
          <a:off x="13612091" y="33216273"/>
          <a:ext cx="1259032" cy="43295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3952" name="Text Box 750">
          <a:extLst>
            <a:ext uri="{FF2B5EF4-FFF2-40B4-BE49-F238E27FC236}">
              <a16:creationId xmlns:a16="http://schemas.microsoft.com/office/drawing/2014/main" id="{85823084-B0F0-4DA5-9DE9-6CB1A71730FB}"/>
            </a:ext>
          </a:extLst>
        </xdr:cNvPr>
        <xdr:cNvSpPr>
          <a:spLocks noChangeArrowheads="1"/>
        </xdr:cNvSpPr>
      </xdr:nvSpPr>
      <xdr:spPr bwMode="auto">
        <a:xfrm>
          <a:off x="13612091" y="33216273"/>
          <a:ext cx="1259032" cy="43295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3953" name="Text Box 751">
          <a:extLst>
            <a:ext uri="{FF2B5EF4-FFF2-40B4-BE49-F238E27FC236}">
              <a16:creationId xmlns:a16="http://schemas.microsoft.com/office/drawing/2014/main" id="{940275E2-A9C1-4B7E-BE7B-6F522F94FE0A}"/>
            </a:ext>
          </a:extLst>
        </xdr:cNvPr>
        <xdr:cNvSpPr>
          <a:spLocks noChangeArrowheads="1"/>
        </xdr:cNvSpPr>
      </xdr:nvSpPr>
      <xdr:spPr bwMode="auto">
        <a:xfrm>
          <a:off x="13612091" y="33216273"/>
          <a:ext cx="1259032" cy="43295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3954" name="Text Box 752">
          <a:extLst>
            <a:ext uri="{FF2B5EF4-FFF2-40B4-BE49-F238E27FC236}">
              <a16:creationId xmlns:a16="http://schemas.microsoft.com/office/drawing/2014/main" id="{32D542CD-2632-46B9-9D90-9AE7C8DCFBC2}"/>
            </a:ext>
          </a:extLst>
        </xdr:cNvPr>
        <xdr:cNvSpPr>
          <a:spLocks noChangeArrowheads="1"/>
        </xdr:cNvSpPr>
      </xdr:nvSpPr>
      <xdr:spPr bwMode="auto">
        <a:xfrm>
          <a:off x="13612091" y="33216273"/>
          <a:ext cx="1259032" cy="43295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3955" name="Text Box 753">
          <a:extLst>
            <a:ext uri="{FF2B5EF4-FFF2-40B4-BE49-F238E27FC236}">
              <a16:creationId xmlns:a16="http://schemas.microsoft.com/office/drawing/2014/main" id="{16025CF3-F07A-42D5-B95A-D6FFFCB2C2D9}"/>
            </a:ext>
          </a:extLst>
        </xdr:cNvPr>
        <xdr:cNvSpPr>
          <a:spLocks noChangeArrowheads="1"/>
        </xdr:cNvSpPr>
      </xdr:nvSpPr>
      <xdr:spPr bwMode="auto">
        <a:xfrm>
          <a:off x="13612091" y="33216273"/>
          <a:ext cx="1259032" cy="43295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3956" name="Text Box 754">
          <a:extLst>
            <a:ext uri="{FF2B5EF4-FFF2-40B4-BE49-F238E27FC236}">
              <a16:creationId xmlns:a16="http://schemas.microsoft.com/office/drawing/2014/main" id="{9C9129A6-2235-4A0A-A0C8-600A68F2B081}"/>
            </a:ext>
          </a:extLst>
        </xdr:cNvPr>
        <xdr:cNvSpPr>
          <a:spLocks noChangeArrowheads="1"/>
        </xdr:cNvSpPr>
      </xdr:nvSpPr>
      <xdr:spPr bwMode="auto">
        <a:xfrm>
          <a:off x="13612091" y="33216273"/>
          <a:ext cx="1259032" cy="43295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3957" name="Text Box 755">
          <a:extLst>
            <a:ext uri="{FF2B5EF4-FFF2-40B4-BE49-F238E27FC236}">
              <a16:creationId xmlns:a16="http://schemas.microsoft.com/office/drawing/2014/main" id="{B933975A-1558-4213-8D32-B41FBCF3912C}"/>
            </a:ext>
          </a:extLst>
        </xdr:cNvPr>
        <xdr:cNvSpPr>
          <a:spLocks noChangeArrowheads="1"/>
        </xdr:cNvSpPr>
      </xdr:nvSpPr>
      <xdr:spPr bwMode="auto">
        <a:xfrm>
          <a:off x="13612091" y="33216273"/>
          <a:ext cx="1259032" cy="43295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3958" name="Text Box 756">
          <a:extLst>
            <a:ext uri="{FF2B5EF4-FFF2-40B4-BE49-F238E27FC236}">
              <a16:creationId xmlns:a16="http://schemas.microsoft.com/office/drawing/2014/main" id="{83F3C24C-548B-4B7A-B8CD-02C274041CDC}"/>
            </a:ext>
          </a:extLst>
        </xdr:cNvPr>
        <xdr:cNvSpPr>
          <a:spLocks noChangeArrowheads="1"/>
        </xdr:cNvSpPr>
      </xdr:nvSpPr>
      <xdr:spPr bwMode="auto">
        <a:xfrm>
          <a:off x="13612091" y="33216273"/>
          <a:ext cx="1259032" cy="43295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3959" name="Text Box 757">
          <a:extLst>
            <a:ext uri="{FF2B5EF4-FFF2-40B4-BE49-F238E27FC236}">
              <a16:creationId xmlns:a16="http://schemas.microsoft.com/office/drawing/2014/main" id="{A2D49CB4-55F3-4198-B3A1-6634B05D62E1}"/>
            </a:ext>
          </a:extLst>
        </xdr:cNvPr>
        <xdr:cNvSpPr>
          <a:spLocks noChangeArrowheads="1"/>
        </xdr:cNvSpPr>
      </xdr:nvSpPr>
      <xdr:spPr bwMode="auto">
        <a:xfrm>
          <a:off x="13612091" y="33216273"/>
          <a:ext cx="1259032" cy="43295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3960" name="Text Box 758">
          <a:extLst>
            <a:ext uri="{FF2B5EF4-FFF2-40B4-BE49-F238E27FC236}">
              <a16:creationId xmlns:a16="http://schemas.microsoft.com/office/drawing/2014/main" id="{24A247C9-61DA-4EB9-B0AC-6D9031E1B5AF}"/>
            </a:ext>
          </a:extLst>
        </xdr:cNvPr>
        <xdr:cNvSpPr>
          <a:spLocks noChangeArrowheads="1"/>
        </xdr:cNvSpPr>
      </xdr:nvSpPr>
      <xdr:spPr bwMode="auto">
        <a:xfrm>
          <a:off x="13612091" y="33216273"/>
          <a:ext cx="1259032" cy="43295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3961" name="Text Box 759">
          <a:extLst>
            <a:ext uri="{FF2B5EF4-FFF2-40B4-BE49-F238E27FC236}">
              <a16:creationId xmlns:a16="http://schemas.microsoft.com/office/drawing/2014/main" id="{319911F4-2688-4FA1-9D06-263867BD279F}"/>
            </a:ext>
          </a:extLst>
        </xdr:cNvPr>
        <xdr:cNvSpPr>
          <a:spLocks noChangeArrowheads="1"/>
        </xdr:cNvSpPr>
      </xdr:nvSpPr>
      <xdr:spPr bwMode="auto">
        <a:xfrm>
          <a:off x="13612091" y="33216273"/>
          <a:ext cx="1259032" cy="43295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3962" name="Text Box 760">
          <a:extLst>
            <a:ext uri="{FF2B5EF4-FFF2-40B4-BE49-F238E27FC236}">
              <a16:creationId xmlns:a16="http://schemas.microsoft.com/office/drawing/2014/main" id="{AB9EDF0D-5DFB-4B68-8F54-C0654355F831}"/>
            </a:ext>
          </a:extLst>
        </xdr:cNvPr>
        <xdr:cNvSpPr>
          <a:spLocks noChangeArrowheads="1"/>
        </xdr:cNvSpPr>
      </xdr:nvSpPr>
      <xdr:spPr bwMode="auto">
        <a:xfrm>
          <a:off x="13612091" y="33216273"/>
          <a:ext cx="1259032" cy="43295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3963" name="Text Box 761">
          <a:extLst>
            <a:ext uri="{FF2B5EF4-FFF2-40B4-BE49-F238E27FC236}">
              <a16:creationId xmlns:a16="http://schemas.microsoft.com/office/drawing/2014/main" id="{208777C7-F270-4875-94BF-AD66A009BF24}"/>
            </a:ext>
          </a:extLst>
        </xdr:cNvPr>
        <xdr:cNvSpPr>
          <a:spLocks noChangeArrowheads="1"/>
        </xdr:cNvSpPr>
      </xdr:nvSpPr>
      <xdr:spPr bwMode="auto">
        <a:xfrm>
          <a:off x="13612091" y="33216273"/>
          <a:ext cx="1259032" cy="43295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3964" name="Text Box 762">
          <a:extLst>
            <a:ext uri="{FF2B5EF4-FFF2-40B4-BE49-F238E27FC236}">
              <a16:creationId xmlns:a16="http://schemas.microsoft.com/office/drawing/2014/main" id="{DDB24183-D930-479B-8B65-752C2260EB22}"/>
            </a:ext>
          </a:extLst>
        </xdr:cNvPr>
        <xdr:cNvSpPr>
          <a:spLocks noChangeArrowheads="1"/>
        </xdr:cNvSpPr>
      </xdr:nvSpPr>
      <xdr:spPr bwMode="auto">
        <a:xfrm>
          <a:off x="13612091" y="33216273"/>
          <a:ext cx="1259032" cy="43295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3965" name="Text Box 763">
          <a:extLst>
            <a:ext uri="{FF2B5EF4-FFF2-40B4-BE49-F238E27FC236}">
              <a16:creationId xmlns:a16="http://schemas.microsoft.com/office/drawing/2014/main" id="{6DB22575-955B-4DDC-B0DB-32470B488D79}"/>
            </a:ext>
          </a:extLst>
        </xdr:cNvPr>
        <xdr:cNvSpPr>
          <a:spLocks noChangeArrowheads="1"/>
        </xdr:cNvSpPr>
      </xdr:nvSpPr>
      <xdr:spPr bwMode="auto">
        <a:xfrm>
          <a:off x="13612091" y="33216273"/>
          <a:ext cx="1259032" cy="43295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3966" name="Text Box 764">
          <a:extLst>
            <a:ext uri="{FF2B5EF4-FFF2-40B4-BE49-F238E27FC236}">
              <a16:creationId xmlns:a16="http://schemas.microsoft.com/office/drawing/2014/main" id="{A9CC6D4D-84C4-4CBF-813E-D9FC9E969374}"/>
            </a:ext>
          </a:extLst>
        </xdr:cNvPr>
        <xdr:cNvSpPr>
          <a:spLocks noChangeArrowheads="1"/>
        </xdr:cNvSpPr>
      </xdr:nvSpPr>
      <xdr:spPr bwMode="auto">
        <a:xfrm>
          <a:off x="13612091" y="33216273"/>
          <a:ext cx="1259032" cy="43295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3967" name="Text Box 765">
          <a:extLst>
            <a:ext uri="{FF2B5EF4-FFF2-40B4-BE49-F238E27FC236}">
              <a16:creationId xmlns:a16="http://schemas.microsoft.com/office/drawing/2014/main" id="{4D47970A-9D67-4D5A-8D88-44B37B63188F}"/>
            </a:ext>
          </a:extLst>
        </xdr:cNvPr>
        <xdr:cNvSpPr>
          <a:spLocks noChangeArrowheads="1"/>
        </xdr:cNvSpPr>
      </xdr:nvSpPr>
      <xdr:spPr bwMode="auto">
        <a:xfrm>
          <a:off x="13612091" y="33216273"/>
          <a:ext cx="1259032" cy="43295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3968" name="Text Box 766">
          <a:extLst>
            <a:ext uri="{FF2B5EF4-FFF2-40B4-BE49-F238E27FC236}">
              <a16:creationId xmlns:a16="http://schemas.microsoft.com/office/drawing/2014/main" id="{6DCA5A81-E0F5-457F-8939-6553A5341159}"/>
            </a:ext>
          </a:extLst>
        </xdr:cNvPr>
        <xdr:cNvSpPr>
          <a:spLocks noChangeArrowheads="1"/>
        </xdr:cNvSpPr>
      </xdr:nvSpPr>
      <xdr:spPr bwMode="auto">
        <a:xfrm>
          <a:off x="13612091" y="33216273"/>
          <a:ext cx="1259032" cy="43295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3969" name="Text Box 767">
          <a:extLst>
            <a:ext uri="{FF2B5EF4-FFF2-40B4-BE49-F238E27FC236}">
              <a16:creationId xmlns:a16="http://schemas.microsoft.com/office/drawing/2014/main" id="{29B6F899-FC3F-45AC-B6DF-2D26BE68A420}"/>
            </a:ext>
          </a:extLst>
        </xdr:cNvPr>
        <xdr:cNvSpPr>
          <a:spLocks noChangeArrowheads="1"/>
        </xdr:cNvSpPr>
      </xdr:nvSpPr>
      <xdr:spPr bwMode="auto">
        <a:xfrm>
          <a:off x="13612091" y="33216273"/>
          <a:ext cx="1259032" cy="43295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3970" name="Text Box 768">
          <a:extLst>
            <a:ext uri="{FF2B5EF4-FFF2-40B4-BE49-F238E27FC236}">
              <a16:creationId xmlns:a16="http://schemas.microsoft.com/office/drawing/2014/main" id="{BEE0DFA6-52AE-476B-842C-D0EC56FD415D}"/>
            </a:ext>
          </a:extLst>
        </xdr:cNvPr>
        <xdr:cNvSpPr>
          <a:spLocks noChangeArrowheads="1"/>
        </xdr:cNvSpPr>
      </xdr:nvSpPr>
      <xdr:spPr bwMode="auto">
        <a:xfrm>
          <a:off x="13612091" y="33216273"/>
          <a:ext cx="1259032" cy="43295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3971" name="Text Box 769">
          <a:extLst>
            <a:ext uri="{FF2B5EF4-FFF2-40B4-BE49-F238E27FC236}">
              <a16:creationId xmlns:a16="http://schemas.microsoft.com/office/drawing/2014/main" id="{4871497F-283D-4CFA-80BB-C14B2CCE9175}"/>
            </a:ext>
          </a:extLst>
        </xdr:cNvPr>
        <xdr:cNvSpPr>
          <a:spLocks noChangeArrowheads="1"/>
        </xdr:cNvSpPr>
      </xdr:nvSpPr>
      <xdr:spPr bwMode="auto">
        <a:xfrm>
          <a:off x="13612091" y="33216273"/>
          <a:ext cx="1259032" cy="43295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3972" name="Text Box 770">
          <a:extLst>
            <a:ext uri="{FF2B5EF4-FFF2-40B4-BE49-F238E27FC236}">
              <a16:creationId xmlns:a16="http://schemas.microsoft.com/office/drawing/2014/main" id="{8B7DF3EF-5EF5-4E4A-8BAA-ED0D022C21F8}"/>
            </a:ext>
          </a:extLst>
        </xdr:cNvPr>
        <xdr:cNvSpPr>
          <a:spLocks noChangeArrowheads="1"/>
        </xdr:cNvSpPr>
      </xdr:nvSpPr>
      <xdr:spPr bwMode="auto">
        <a:xfrm>
          <a:off x="13612091" y="33216273"/>
          <a:ext cx="1259032" cy="43295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3973" name="Text Box 771">
          <a:extLst>
            <a:ext uri="{FF2B5EF4-FFF2-40B4-BE49-F238E27FC236}">
              <a16:creationId xmlns:a16="http://schemas.microsoft.com/office/drawing/2014/main" id="{C9D64185-FA68-4777-91B2-B74D5CB58B76}"/>
            </a:ext>
          </a:extLst>
        </xdr:cNvPr>
        <xdr:cNvSpPr>
          <a:spLocks noChangeArrowheads="1"/>
        </xdr:cNvSpPr>
      </xdr:nvSpPr>
      <xdr:spPr bwMode="auto">
        <a:xfrm>
          <a:off x="13612091" y="33216273"/>
          <a:ext cx="1259032" cy="43295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3974" name="Text Box 772">
          <a:extLst>
            <a:ext uri="{FF2B5EF4-FFF2-40B4-BE49-F238E27FC236}">
              <a16:creationId xmlns:a16="http://schemas.microsoft.com/office/drawing/2014/main" id="{DDEEF219-7401-4A75-8CCB-76D302AB4D14}"/>
            </a:ext>
          </a:extLst>
        </xdr:cNvPr>
        <xdr:cNvSpPr>
          <a:spLocks noChangeArrowheads="1"/>
        </xdr:cNvSpPr>
      </xdr:nvSpPr>
      <xdr:spPr bwMode="auto">
        <a:xfrm>
          <a:off x="13612091" y="33216273"/>
          <a:ext cx="1259032" cy="43295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3975" name="Text Box 773">
          <a:extLst>
            <a:ext uri="{FF2B5EF4-FFF2-40B4-BE49-F238E27FC236}">
              <a16:creationId xmlns:a16="http://schemas.microsoft.com/office/drawing/2014/main" id="{2A85C4A2-106B-44C9-ACAE-0002D242C2A8}"/>
            </a:ext>
          </a:extLst>
        </xdr:cNvPr>
        <xdr:cNvSpPr>
          <a:spLocks noChangeArrowheads="1"/>
        </xdr:cNvSpPr>
      </xdr:nvSpPr>
      <xdr:spPr bwMode="auto">
        <a:xfrm>
          <a:off x="13612091" y="33216273"/>
          <a:ext cx="1259032" cy="43295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3976" name="Text Box 774">
          <a:extLst>
            <a:ext uri="{FF2B5EF4-FFF2-40B4-BE49-F238E27FC236}">
              <a16:creationId xmlns:a16="http://schemas.microsoft.com/office/drawing/2014/main" id="{6ACCCA66-5AC6-4084-8C36-6A42A36C74FB}"/>
            </a:ext>
          </a:extLst>
        </xdr:cNvPr>
        <xdr:cNvSpPr>
          <a:spLocks noChangeArrowheads="1"/>
        </xdr:cNvSpPr>
      </xdr:nvSpPr>
      <xdr:spPr bwMode="auto">
        <a:xfrm>
          <a:off x="13612091" y="33216273"/>
          <a:ext cx="1259032" cy="43295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3977" name="Text Box 775">
          <a:extLst>
            <a:ext uri="{FF2B5EF4-FFF2-40B4-BE49-F238E27FC236}">
              <a16:creationId xmlns:a16="http://schemas.microsoft.com/office/drawing/2014/main" id="{920DCAFC-EDD0-4303-9086-4E27EEA36FC3}"/>
            </a:ext>
          </a:extLst>
        </xdr:cNvPr>
        <xdr:cNvSpPr>
          <a:spLocks noChangeArrowheads="1"/>
        </xdr:cNvSpPr>
      </xdr:nvSpPr>
      <xdr:spPr bwMode="auto">
        <a:xfrm>
          <a:off x="13612091" y="33216273"/>
          <a:ext cx="1259032" cy="43295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3978" name="Text Box 776">
          <a:extLst>
            <a:ext uri="{FF2B5EF4-FFF2-40B4-BE49-F238E27FC236}">
              <a16:creationId xmlns:a16="http://schemas.microsoft.com/office/drawing/2014/main" id="{3B46B9E9-025B-4C63-A550-826FD2CF9945}"/>
            </a:ext>
          </a:extLst>
        </xdr:cNvPr>
        <xdr:cNvSpPr>
          <a:spLocks noChangeArrowheads="1"/>
        </xdr:cNvSpPr>
      </xdr:nvSpPr>
      <xdr:spPr bwMode="auto">
        <a:xfrm>
          <a:off x="13612091" y="33216273"/>
          <a:ext cx="1259032" cy="43295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323850</xdr:colOff>
      <xdr:row>134</xdr:row>
      <xdr:rowOff>0</xdr:rowOff>
    </xdr:to>
    <xdr:sp macro="" textlink="">
      <xdr:nvSpPr>
        <xdr:cNvPr id="3979" name="Text Box 777">
          <a:extLst>
            <a:ext uri="{FF2B5EF4-FFF2-40B4-BE49-F238E27FC236}">
              <a16:creationId xmlns:a16="http://schemas.microsoft.com/office/drawing/2014/main" id="{67DD0419-1635-4CE5-9E05-FDDE2A32DEB0}"/>
            </a:ext>
          </a:extLst>
        </xdr:cNvPr>
        <xdr:cNvSpPr>
          <a:spLocks noChangeArrowheads="1"/>
        </xdr:cNvSpPr>
      </xdr:nvSpPr>
      <xdr:spPr bwMode="auto">
        <a:xfrm>
          <a:off x="13612091" y="33216273"/>
          <a:ext cx="1259032" cy="43295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F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141"/>
  <sheetViews>
    <sheetView showGridLines="0" tabSelected="1" topLeftCell="A5" zoomScale="55" zoomScaleNormal="55" zoomScaleSheetLayoutView="55" workbookViewId="0">
      <pane xSplit="8" ySplit="3" topLeftCell="I8" activePane="bottomRight" state="frozen"/>
      <selection activeCell="B5" sqref="B5"/>
      <selection pane="topRight" activeCell="H5" sqref="H5"/>
      <selection pane="bottomLeft" activeCell="B9" sqref="B9"/>
      <selection pane="bottomRight" activeCell="I17" sqref="I14:I17"/>
    </sheetView>
  </sheetViews>
  <sheetFormatPr defaultColWidth="10" defaultRowHeight="18" x14ac:dyDescent="0.25"/>
  <cols>
    <col min="1" max="1" width="10" style="1" customWidth="1"/>
    <col min="2" max="2" width="6.26953125" style="2" customWidth="1"/>
    <col min="3" max="3" width="50.08984375" style="3" customWidth="1"/>
    <col min="4" max="4" width="9.1796875" style="3" bestFit="1" customWidth="1"/>
    <col min="5" max="5" width="13.54296875" style="3" bestFit="1" customWidth="1"/>
    <col min="6" max="7" width="11.6328125" style="4" customWidth="1"/>
    <col min="8" max="8" width="18.7265625" style="2" bestFit="1" customWidth="1"/>
    <col min="9" max="9" width="9" style="5" customWidth="1"/>
    <col min="10" max="10" width="12.6328125" style="5" customWidth="1"/>
    <col min="11" max="11" width="11.7265625" style="5" customWidth="1"/>
    <col min="12" max="12" width="13" style="5" customWidth="1"/>
    <col min="13" max="13" width="9" style="5" customWidth="1"/>
    <col min="14" max="14" width="12.6328125" style="5" customWidth="1"/>
    <col min="15" max="15" width="11.7265625" style="5" customWidth="1"/>
    <col min="16" max="16" width="12.6328125" style="5" customWidth="1"/>
    <col min="17" max="17" width="9" style="5" customWidth="1"/>
    <col min="18" max="18" width="13" style="5" customWidth="1"/>
    <col min="19" max="19" width="12" style="5" customWidth="1"/>
    <col min="20" max="20" width="12.6328125" style="5" customWidth="1"/>
    <col min="21" max="21" width="9" style="5" customWidth="1"/>
    <col min="22" max="24" width="12.6328125" style="5" customWidth="1"/>
    <col min="25" max="25" width="9" style="5" customWidth="1"/>
    <col min="26" max="26" width="14.08984375" style="5" customWidth="1"/>
    <col min="27" max="27" width="12.6328125" style="5" customWidth="1"/>
    <col min="28" max="28" width="19.26953125" style="5" customWidth="1"/>
    <col min="29" max="29" width="13.453125" style="5" customWidth="1"/>
    <col min="30" max="30" width="12.90625" style="5" customWidth="1"/>
    <col min="31" max="31" width="13.26953125" style="5" customWidth="1"/>
    <col min="32" max="32" width="11.26953125" style="5" customWidth="1"/>
    <col min="33" max="33" width="12.08984375" style="5" customWidth="1"/>
    <col min="34" max="34" width="12.36328125" style="5" customWidth="1"/>
    <col min="35" max="35" width="10.90625" style="5" customWidth="1"/>
    <col min="36" max="36" width="12.7265625" style="5" customWidth="1"/>
    <col min="37" max="37" width="9" style="5" customWidth="1"/>
    <col min="38" max="38" width="12" style="5" customWidth="1"/>
    <col min="39" max="39" width="13" style="5" customWidth="1"/>
    <col min="40" max="40" width="12.6328125" style="5" customWidth="1"/>
    <col min="41" max="41" width="9" style="5" customWidth="1"/>
    <col min="42" max="42" width="12.6328125" style="5" customWidth="1"/>
    <col min="43" max="43" width="14.54296875" style="5" customWidth="1"/>
    <col min="44" max="44" width="8.90625" style="5" customWidth="1"/>
    <col min="45" max="45" width="10.90625" style="5" customWidth="1"/>
    <col min="46" max="46" width="6.90625" style="5" customWidth="1"/>
    <col min="47" max="47" width="6.1796875" style="5" customWidth="1"/>
    <col min="48" max="48" width="8" style="5" customWidth="1"/>
    <col min="49" max="49" width="5.81640625" style="5" customWidth="1"/>
    <col min="50" max="51" width="5.6328125" style="5" customWidth="1"/>
    <col min="52" max="60" width="7.08984375" style="5" customWidth="1"/>
    <col min="61" max="61" width="9" style="5" customWidth="1"/>
    <col min="62" max="62" width="14.453125" style="5" customWidth="1"/>
    <col min="63" max="63" width="14.1796875" style="5" customWidth="1"/>
    <col min="64" max="64" width="14.453125" style="5" customWidth="1"/>
    <col min="65" max="65" width="9" style="5" customWidth="1"/>
    <col min="66" max="66" width="14.453125" style="5" customWidth="1"/>
    <col min="67" max="67" width="14.1796875" style="5" customWidth="1"/>
    <col min="68" max="68" width="14.453125" style="5" customWidth="1"/>
    <col min="69" max="69" width="9" style="5" customWidth="1"/>
    <col min="70" max="70" width="14.453125" style="5" customWidth="1"/>
    <col min="71" max="71" width="14.1796875" style="5" customWidth="1"/>
    <col min="72" max="72" width="14.453125" style="5" customWidth="1"/>
    <col min="73" max="73" width="9" style="5" customWidth="1"/>
    <col min="74" max="74" width="14.453125" style="5" customWidth="1"/>
    <col min="75" max="75" width="14.1796875" style="5" customWidth="1"/>
    <col min="76" max="76" width="14.453125" style="5" customWidth="1"/>
    <col min="77" max="77" width="9" style="5" customWidth="1"/>
    <col min="78" max="78" width="18.08984375" style="5" customWidth="1"/>
    <col min="79" max="79" width="14.1796875" style="5" customWidth="1"/>
    <col min="80" max="80" width="14.453125" style="5" customWidth="1"/>
    <col min="81" max="81" width="9.81640625" style="5" bestFit="1" customWidth="1"/>
    <col min="82" max="82" width="18.08984375" style="5" customWidth="1"/>
    <col min="83" max="83" width="14.1796875" style="5" customWidth="1"/>
    <col min="84" max="85" width="14.453125" style="5" customWidth="1"/>
    <col min="86" max="86" width="10.36328125" style="5" customWidth="1"/>
    <col min="87" max="89" width="16.54296875" style="5" bestFit="1" customWidth="1"/>
    <col min="90" max="90" width="10.6328125" style="5" customWidth="1"/>
    <col min="91" max="91" width="16.90625" style="5" bestFit="1" customWidth="1"/>
    <col min="92" max="16384" width="10" style="3"/>
  </cols>
  <sheetData>
    <row r="1" spans="1:94" ht="18" hidden="1" customHeight="1" x14ac:dyDescent="0.25">
      <c r="H1" s="3"/>
    </row>
    <row r="2" spans="1:94" ht="30" hidden="1" customHeight="1" x14ac:dyDescent="0.25">
      <c r="B2" s="6"/>
      <c r="C2" s="7"/>
      <c r="D2" s="6"/>
      <c r="E2" s="125"/>
      <c r="F2" s="8"/>
      <c r="G2" s="8"/>
      <c r="H2" s="9"/>
      <c r="I2" s="10"/>
      <c r="J2" s="11"/>
      <c r="K2" s="11"/>
      <c r="L2" s="11"/>
      <c r="M2" s="10"/>
      <c r="N2" s="11"/>
      <c r="O2" s="11"/>
      <c r="P2" s="11"/>
      <c r="Q2" s="10"/>
      <c r="R2" s="11"/>
      <c r="S2" s="11"/>
      <c r="T2" s="11"/>
      <c r="U2" s="10"/>
      <c r="V2" s="11"/>
      <c r="W2" s="11"/>
      <c r="X2" s="11"/>
      <c r="Y2" s="10"/>
      <c r="Z2" s="11"/>
      <c r="AA2" s="11"/>
      <c r="AB2" s="11"/>
      <c r="AC2" s="10"/>
      <c r="AD2" s="11"/>
      <c r="AE2" s="11"/>
      <c r="AF2" s="11"/>
      <c r="AG2" s="10"/>
      <c r="AH2" s="11"/>
      <c r="AI2" s="11"/>
      <c r="AJ2" s="11"/>
      <c r="AK2" s="10"/>
      <c r="AL2" s="11"/>
      <c r="AM2" s="11"/>
      <c r="AN2" s="11"/>
      <c r="AO2" s="10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0"/>
      <c r="BB2" s="11"/>
      <c r="BC2" s="11"/>
      <c r="BD2" s="11"/>
      <c r="BE2" s="10"/>
      <c r="BF2" s="11"/>
      <c r="BG2" s="11"/>
      <c r="BH2" s="11"/>
      <c r="BI2" s="10"/>
      <c r="BJ2" s="11"/>
      <c r="BK2" s="11"/>
      <c r="BL2" s="11"/>
      <c r="BM2" s="10"/>
      <c r="BN2" s="11"/>
      <c r="BO2" s="11"/>
      <c r="BP2" s="11"/>
      <c r="BQ2" s="10"/>
      <c r="BR2" s="11"/>
      <c r="BS2" s="11"/>
      <c r="BT2" s="11"/>
      <c r="BU2" s="10"/>
      <c r="BV2" s="11"/>
      <c r="BW2" s="11"/>
      <c r="BX2" s="11"/>
      <c r="BY2" s="10"/>
      <c r="BZ2" s="11"/>
      <c r="CA2" s="11"/>
      <c r="CB2" s="11"/>
      <c r="CC2" s="10"/>
      <c r="CD2" s="11"/>
      <c r="CE2" s="11"/>
      <c r="CF2" s="11"/>
      <c r="CG2" s="11"/>
      <c r="CH2" s="10"/>
      <c r="CI2" s="11"/>
      <c r="CJ2" s="11"/>
      <c r="CK2" s="11"/>
      <c r="CL2" s="11"/>
      <c r="CM2" s="11"/>
    </row>
    <row r="3" spans="1:94" ht="30" hidden="1" customHeight="1" x14ac:dyDescent="0.25">
      <c r="B3" s="12"/>
      <c r="C3" s="13"/>
      <c r="D3" s="14"/>
      <c r="E3" s="126"/>
      <c r="F3" s="15"/>
      <c r="G3" s="15"/>
      <c r="H3" s="16"/>
      <c r="I3" s="17"/>
      <c r="J3" s="18"/>
      <c r="K3" s="18"/>
      <c r="L3" s="18"/>
      <c r="M3" s="17"/>
      <c r="N3" s="18"/>
      <c r="O3" s="18"/>
      <c r="P3" s="18"/>
      <c r="Q3" s="17"/>
      <c r="R3" s="18"/>
      <c r="S3" s="18"/>
      <c r="T3" s="18"/>
      <c r="U3" s="17"/>
      <c r="V3" s="18"/>
      <c r="W3" s="18"/>
      <c r="X3" s="18"/>
      <c r="Y3" s="17"/>
      <c r="Z3" s="18"/>
      <c r="AA3" s="18"/>
      <c r="AB3" s="18"/>
      <c r="AC3" s="17"/>
      <c r="AD3" s="18"/>
      <c r="AE3" s="18"/>
      <c r="AF3" s="18"/>
      <c r="AG3" s="17"/>
      <c r="AH3" s="18"/>
      <c r="AI3" s="18"/>
      <c r="AJ3" s="18"/>
      <c r="AK3" s="17"/>
      <c r="AL3" s="18"/>
      <c r="AM3" s="18"/>
      <c r="AN3" s="18"/>
      <c r="AO3" s="17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7"/>
      <c r="BB3" s="18"/>
      <c r="BC3" s="18"/>
      <c r="BD3" s="18"/>
      <c r="BE3" s="17"/>
      <c r="BF3" s="18"/>
      <c r="BG3" s="18"/>
      <c r="BH3" s="18"/>
      <c r="BI3" s="17"/>
      <c r="BJ3" s="18"/>
      <c r="BK3" s="18"/>
      <c r="BL3" s="18"/>
      <c r="BM3" s="17"/>
      <c r="BN3" s="18"/>
      <c r="BO3" s="18"/>
      <c r="BP3" s="18"/>
      <c r="BQ3" s="17"/>
      <c r="BR3" s="18"/>
      <c r="BS3" s="18"/>
      <c r="BT3" s="18"/>
      <c r="BU3" s="17"/>
      <c r="BV3" s="18"/>
      <c r="BW3" s="18"/>
      <c r="BX3" s="18"/>
      <c r="BY3" s="17"/>
      <c r="BZ3" s="18"/>
      <c r="CA3" s="18"/>
      <c r="CB3" s="18"/>
      <c r="CC3" s="17"/>
      <c r="CD3" s="18"/>
      <c r="CE3" s="18"/>
      <c r="CF3" s="18"/>
      <c r="CG3" s="18"/>
      <c r="CH3" s="17"/>
      <c r="CI3" s="18"/>
      <c r="CJ3" s="18"/>
      <c r="CK3" s="18"/>
      <c r="CL3" s="18"/>
      <c r="CM3" s="18"/>
    </row>
    <row r="4" spans="1:94" ht="30" hidden="1" customHeight="1" x14ac:dyDescent="0.25">
      <c r="B4" s="12"/>
      <c r="C4" s="13"/>
      <c r="D4" s="19" t="s">
        <v>0</v>
      </c>
      <c r="E4" s="19"/>
      <c r="F4" s="20" t="s">
        <v>1</v>
      </c>
      <c r="G4" s="20"/>
      <c r="H4" s="21"/>
      <c r="I4" s="22"/>
      <c r="J4" s="23"/>
      <c r="K4" s="23"/>
      <c r="L4" s="23"/>
      <c r="M4" s="22"/>
      <c r="N4" s="23"/>
      <c r="O4" s="23"/>
      <c r="P4" s="23"/>
      <c r="Q4" s="22"/>
      <c r="R4" s="23"/>
      <c r="S4" s="23"/>
      <c r="T4" s="23"/>
      <c r="U4" s="22"/>
      <c r="V4" s="23"/>
      <c r="W4" s="23"/>
      <c r="X4" s="23"/>
      <c r="Y4" s="22"/>
      <c r="Z4" s="23"/>
      <c r="AA4" s="23"/>
      <c r="AB4" s="23"/>
      <c r="AC4" s="22"/>
      <c r="AD4" s="23"/>
      <c r="AE4" s="23"/>
      <c r="AF4" s="23"/>
      <c r="AG4" s="22"/>
      <c r="AH4" s="23"/>
      <c r="AI4" s="23"/>
      <c r="AJ4" s="23"/>
      <c r="AK4" s="22"/>
      <c r="AL4" s="23"/>
      <c r="AM4" s="23"/>
      <c r="AN4" s="23"/>
      <c r="AO4" s="22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2"/>
      <c r="BB4" s="23"/>
      <c r="BC4" s="23"/>
      <c r="BD4" s="23"/>
      <c r="BE4" s="22"/>
      <c r="BF4" s="23"/>
      <c r="BG4" s="23"/>
      <c r="BH4" s="23"/>
      <c r="BI4" s="22"/>
      <c r="BJ4" s="23"/>
      <c r="BK4" s="23"/>
      <c r="BL4" s="23"/>
      <c r="BM4" s="22"/>
      <c r="BN4" s="23"/>
      <c r="BO4" s="23"/>
      <c r="BP4" s="23"/>
      <c r="BQ4" s="22"/>
      <c r="BR4" s="23"/>
      <c r="BS4" s="23"/>
      <c r="BT4" s="23"/>
      <c r="BU4" s="22"/>
      <c r="BV4" s="23"/>
      <c r="BW4" s="23"/>
      <c r="BX4" s="23"/>
      <c r="BY4" s="22"/>
      <c r="BZ4" s="23"/>
      <c r="CA4" s="23"/>
      <c r="CB4" s="23"/>
      <c r="CC4" s="22"/>
      <c r="CD4" s="23"/>
      <c r="CE4" s="23"/>
      <c r="CF4" s="23"/>
      <c r="CG4" s="23"/>
      <c r="CH4" s="22"/>
      <c r="CI4" s="23"/>
      <c r="CJ4" s="23"/>
      <c r="CK4" s="23"/>
      <c r="CL4" s="23"/>
      <c r="CM4" s="23"/>
    </row>
    <row r="5" spans="1:94" ht="30" customHeight="1" x14ac:dyDescent="0.25">
      <c r="B5" s="273"/>
      <c r="C5" s="274"/>
      <c r="D5" s="87" t="s">
        <v>2</v>
      </c>
      <c r="E5" s="127"/>
      <c r="F5" s="277" t="s">
        <v>62</v>
      </c>
      <c r="G5" s="277"/>
      <c r="H5" s="278"/>
      <c r="I5" s="220" t="s">
        <v>3</v>
      </c>
      <c r="J5" s="221"/>
      <c r="K5" s="221"/>
      <c r="L5" s="222"/>
      <c r="M5" s="220" t="s">
        <v>4</v>
      </c>
      <c r="N5" s="221"/>
      <c r="O5" s="221"/>
      <c r="P5" s="222"/>
      <c r="Q5" s="220" t="s">
        <v>5</v>
      </c>
      <c r="R5" s="221"/>
      <c r="S5" s="221"/>
      <c r="T5" s="222"/>
      <c r="U5" s="220" t="s">
        <v>6</v>
      </c>
      <c r="V5" s="221"/>
      <c r="W5" s="221"/>
      <c r="X5" s="222"/>
      <c r="Y5" s="220" t="s">
        <v>7</v>
      </c>
      <c r="Z5" s="221"/>
      <c r="AA5" s="221"/>
      <c r="AB5" s="222"/>
      <c r="AC5" s="220" t="s">
        <v>8</v>
      </c>
      <c r="AD5" s="221"/>
      <c r="AE5" s="221"/>
      <c r="AF5" s="222"/>
      <c r="AG5" s="220" t="s">
        <v>9</v>
      </c>
      <c r="AH5" s="221"/>
      <c r="AI5" s="221"/>
      <c r="AJ5" s="222"/>
      <c r="AK5" s="220" t="s">
        <v>10</v>
      </c>
      <c r="AL5" s="221"/>
      <c r="AM5" s="221"/>
      <c r="AN5" s="222"/>
      <c r="AO5" s="220" t="s">
        <v>11</v>
      </c>
      <c r="AP5" s="221"/>
      <c r="AQ5" s="221"/>
      <c r="AR5" s="222"/>
      <c r="AS5" s="220" t="s">
        <v>12</v>
      </c>
      <c r="AT5" s="221"/>
      <c r="AU5" s="221"/>
      <c r="AV5" s="222"/>
      <c r="AW5" s="220" t="s">
        <v>63</v>
      </c>
      <c r="AX5" s="221"/>
      <c r="AY5" s="221"/>
      <c r="AZ5" s="222"/>
      <c r="BA5" s="220" t="s">
        <v>64</v>
      </c>
      <c r="BB5" s="221"/>
      <c r="BC5" s="221"/>
      <c r="BD5" s="222"/>
      <c r="BE5" s="220" t="s">
        <v>65</v>
      </c>
      <c r="BF5" s="221"/>
      <c r="BG5" s="221"/>
      <c r="BH5" s="222"/>
      <c r="BI5" s="220" t="s">
        <v>66</v>
      </c>
      <c r="BJ5" s="221"/>
      <c r="BK5" s="221"/>
      <c r="BL5" s="222"/>
      <c r="BM5" s="220" t="s">
        <v>67</v>
      </c>
      <c r="BN5" s="221"/>
      <c r="BO5" s="221"/>
      <c r="BP5" s="222"/>
      <c r="BQ5" s="220" t="s">
        <v>75</v>
      </c>
      <c r="BR5" s="221"/>
      <c r="BS5" s="221"/>
      <c r="BT5" s="222"/>
      <c r="BU5" s="220" t="s">
        <v>76</v>
      </c>
      <c r="BV5" s="221"/>
      <c r="BW5" s="221"/>
      <c r="BX5" s="222"/>
      <c r="BY5" s="220" t="s">
        <v>77</v>
      </c>
      <c r="BZ5" s="221"/>
      <c r="CA5" s="221"/>
      <c r="CB5" s="222"/>
      <c r="CC5" s="220" t="s">
        <v>79</v>
      </c>
      <c r="CD5" s="221"/>
      <c r="CE5" s="221"/>
      <c r="CF5" s="222"/>
      <c r="CG5" s="131"/>
      <c r="CH5" s="269" t="s">
        <v>13</v>
      </c>
      <c r="CI5" s="269"/>
      <c r="CJ5" s="269"/>
      <c r="CK5" s="269"/>
      <c r="CL5" s="269"/>
      <c r="CM5" s="270"/>
    </row>
    <row r="6" spans="1:94" ht="105.6" customHeight="1" thickBot="1" x14ac:dyDescent="0.3">
      <c r="B6" s="275"/>
      <c r="C6" s="276"/>
      <c r="D6" s="88" t="s">
        <v>0</v>
      </c>
      <c r="E6" s="128"/>
      <c r="F6" s="271" t="s">
        <v>85</v>
      </c>
      <c r="G6" s="271"/>
      <c r="H6" s="272"/>
      <c r="I6" s="223">
        <v>46204</v>
      </c>
      <c r="J6" s="224"/>
      <c r="K6" s="224"/>
      <c r="L6" s="225"/>
      <c r="M6" s="223">
        <v>46235</v>
      </c>
      <c r="N6" s="224"/>
      <c r="O6" s="224"/>
      <c r="P6" s="225"/>
      <c r="Q6" s="223">
        <v>46266</v>
      </c>
      <c r="R6" s="224"/>
      <c r="S6" s="224"/>
      <c r="T6" s="225"/>
      <c r="U6" s="223">
        <v>46296</v>
      </c>
      <c r="V6" s="224"/>
      <c r="W6" s="224"/>
      <c r="X6" s="225"/>
      <c r="Y6" s="223">
        <v>46327</v>
      </c>
      <c r="Z6" s="224"/>
      <c r="AA6" s="224"/>
      <c r="AB6" s="225"/>
      <c r="AC6" s="223">
        <v>46357</v>
      </c>
      <c r="AD6" s="224"/>
      <c r="AE6" s="224"/>
      <c r="AF6" s="225"/>
      <c r="AG6" s="223">
        <v>46388</v>
      </c>
      <c r="AH6" s="224"/>
      <c r="AI6" s="224"/>
      <c r="AJ6" s="225"/>
      <c r="AK6" s="223">
        <v>46419</v>
      </c>
      <c r="AL6" s="224"/>
      <c r="AM6" s="224"/>
      <c r="AN6" s="225"/>
      <c r="AO6" s="223">
        <v>46447</v>
      </c>
      <c r="AP6" s="224"/>
      <c r="AQ6" s="224"/>
      <c r="AR6" s="225"/>
      <c r="AS6" s="223">
        <v>46478</v>
      </c>
      <c r="AT6" s="224"/>
      <c r="AU6" s="224"/>
      <c r="AV6" s="225"/>
      <c r="AW6" s="223">
        <v>46508</v>
      </c>
      <c r="AX6" s="224"/>
      <c r="AY6" s="224"/>
      <c r="AZ6" s="225"/>
      <c r="BA6" s="223">
        <v>46539</v>
      </c>
      <c r="BB6" s="224"/>
      <c r="BC6" s="224"/>
      <c r="BD6" s="225"/>
      <c r="BE6" s="223">
        <v>46569</v>
      </c>
      <c r="BF6" s="224"/>
      <c r="BG6" s="224"/>
      <c r="BH6" s="225"/>
      <c r="BI6" s="223">
        <v>46600</v>
      </c>
      <c r="BJ6" s="224"/>
      <c r="BK6" s="224"/>
      <c r="BL6" s="225"/>
      <c r="BM6" s="223">
        <v>46631</v>
      </c>
      <c r="BN6" s="224"/>
      <c r="BO6" s="224"/>
      <c r="BP6" s="225"/>
      <c r="BQ6" s="223">
        <v>46661</v>
      </c>
      <c r="BR6" s="224"/>
      <c r="BS6" s="224"/>
      <c r="BT6" s="225"/>
      <c r="BU6" s="223">
        <v>46692</v>
      </c>
      <c r="BV6" s="224"/>
      <c r="BW6" s="224"/>
      <c r="BX6" s="225"/>
      <c r="BY6" s="223">
        <v>46722</v>
      </c>
      <c r="BZ6" s="224"/>
      <c r="CA6" s="224"/>
      <c r="CB6" s="225"/>
      <c r="CC6" s="223">
        <v>46753</v>
      </c>
      <c r="CD6" s="224"/>
      <c r="CE6" s="224"/>
      <c r="CF6" s="225"/>
      <c r="CG6" s="200"/>
      <c r="CH6" s="266" t="s">
        <v>14</v>
      </c>
      <c r="CI6" s="267"/>
      <c r="CJ6" s="267"/>
      <c r="CK6" s="267"/>
      <c r="CL6" s="267"/>
      <c r="CM6" s="268"/>
    </row>
    <row r="7" spans="1:94" ht="29.25" customHeight="1" x14ac:dyDescent="0.25">
      <c r="A7" s="24"/>
      <c r="B7" s="71" t="s">
        <v>15</v>
      </c>
      <c r="C7" s="79" t="s">
        <v>16</v>
      </c>
      <c r="D7" s="25" t="s">
        <v>17</v>
      </c>
      <c r="E7" s="82" t="s">
        <v>22</v>
      </c>
      <c r="F7" s="26" t="s">
        <v>18</v>
      </c>
      <c r="G7" s="26" t="s">
        <v>19</v>
      </c>
      <c r="H7" s="27" t="s">
        <v>20</v>
      </c>
      <c r="I7" s="82" t="s">
        <v>17</v>
      </c>
      <c r="J7" s="26" t="s">
        <v>18</v>
      </c>
      <c r="K7" s="26" t="s">
        <v>19</v>
      </c>
      <c r="L7" s="27" t="s">
        <v>20</v>
      </c>
      <c r="M7" s="82" t="s">
        <v>17</v>
      </c>
      <c r="N7" s="26" t="s">
        <v>18</v>
      </c>
      <c r="O7" s="26" t="s">
        <v>19</v>
      </c>
      <c r="P7" s="27" t="s">
        <v>20</v>
      </c>
      <c r="Q7" s="82" t="s">
        <v>17</v>
      </c>
      <c r="R7" s="26" t="s">
        <v>18</v>
      </c>
      <c r="S7" s="26" t="s">
        <v>19</v>
      </c>
      <c r="T7" s="27" t="s">
        <v>20</v>
      </c>
      <c r="U7" s="82" t="s">
        <v>17</v>
      </c>
      <c r="V7" s="26" t="s">
        <v>18</v>
      </c>
      <c r="W7" s="26" t="s">
        <v>19</v>
      </c>
      <c r="X7" s="27" t="s">
        <v>20</v>
      </c>
      <c r="Y7" s="82" t="s">
        <v>17</v>
      </c>
      <c r="Z7" s="26" t="s">
        <v>18</v>
      </c>
      <c r="AA7" s="26" t="s">
        <v>19</v>
      </c>
      <c r="AB7" s="27" t="s">
        <v>20</v>
      </c>
      <c r="AC7" s="82" t="s">
        <v>17</v>
      </c>
      <c r="AD7" s="26" t="s">
        <v>18</v>
      </c>
      <c r="AE7" s="26" t="s">
        <v>19</v>
      </c>
      <c r="AF7" s="27" t="s">
        <v>20</v>
      </c>
      <c r="AG7" s="82" t="s">
        <v>17</v>
      </c>
      <c r="AH7" s="26" t="s">
        <v>18</v>
      </c>
      <c r="AI7" s="26" t="s">
        <v>19</v>
      </c>
      <c r="AJ7" s="27" t="s">
        <v>20</v>
      </c>
      <c r="AK7" s="82" t="s">
        <v>17</v>
      </c>
      <c r="AL7" s="26" t="s">
        <v>18</v>
      </c>
      <c r="AM7" s="26" t="s">
        <v>19</v>
      </c>
      <c r="AN7" s="27" t="s">
        <v>20</v>
      </c>
      <c r="AO7" s="82" t="s">
        <v>17</v>
      </c>
      <c r="AP7" s="26" t="s">
        <v>18</v>
      </c>
      <c r="AQ7" s="26" t="s">
        <v>19</v>
      </c>
      <c r="AR7" s="27" t="s">
        <v>20</v>
      </c>
      <c r="AS7" s="82" t="s">
        <v>17</v>
      </c>
      <c r="AT7" s="26" t="s">
        <v>18</v>
      </c>
      <c r="AU7" s="26" t="s">
        <v>19</v>
      </c>
      <c r="AV7" s="27" t="s">
        <v>20</v>
      </c>
      <c r="AW7" s="82" t="s">
        <v>17</v>
      </c>
      <c r="AX7" s="26" t="s">
        <v>18</v>
      </c>
      <c r="AY7" s="26" t="s">
        <v>19</v>
      </c>
      <c r="AZ7" s="27" t="s">
        <v>20</v>
      </c>
      <c r="BA7" s="82" t="s">
        <v>17</v>
      </c>
      <c r="BB7" s="26" t="s">
        <v>18</v>
      </c>
      <c r="BC7" s="26" t="s">
        <v>19</v>
      </c>
      <c r="BD7" s="27" t="s">
        <v>20</v>
      </c>
      <c r="BE7" s="25" t="s">
        <v>17</v>
      </c>
      <c r="BF7" s="26" t="s">
        <v>18</v>
      </c>
      <c r="BG7" s="26" t="s">
        <v>19</v>
      </c>
      <c r="BH7" s="27" t="s">
        <v>20</v>
      </c>
      <c r="BI7" s="25" t="s">
        <v>17</v>
      </c>
      <c r="BJ7" s="26" t="s">
        <v>18</v>
      </c>
      <c r="BK7" s="26" t="s">
        <v>19</v>
      </c>
      <c r="BL7" s="27" t="s">
        <v>20</v>
      </c>
      <c r="BM7" s="25" t="s">
        <v>17</v>
      </c>
      <c r="BN7" s="26" t="s">
        <v>18</v>
      </c>
      <c r="BO7" s="26" t="s">
        <v>19</v>
      </c>
      <c r="BP7" s="27" t="s">
        <v>20</v>
      </c>
      <c r="BQ7" s="25" t="s">
        <v>17</v>
      </c>
      <c r="BR7" s="26" t="s">
        <v>18</v>
      </c>
      <c r="BS7" s="26" t="s">
        <v>19</v>
      </c>
      <c r="BT7" s="27" t="s">
        <v>20</v>
      </c>
      <c r="BU7" s="25" t="s">
        <v>17</v>
      </c>
      <c r="BV7" s="26" t="s">
        <v>18</v>
      </c>
      <c r="BW7" s="26" t="s">
        <v>19</v>
      </c>
      <c r="BX7" s="27" t="s">
        <v>20</v>
      </c>
      <c r="BY7" s="25" t="s">
        <v>17</v>
      </c>
      <c r="BZ7" s="26" t="s">
        <v>18</v>
      </c>
      <c r="CA7" s="26" t="s">
        <v>19</v>
      </c>
      <c r="CB7" s="27" t="s">
        <v>20</v>
      </c>
      <c r="CC7" s="143" t="s">
        <v>17</v>
      </c>
      <c r="CD7" s="26" t="s">
        <v>18</v>
      </c>
      <c r="CE7" s="26" t="s">
        <v>19</v>
      </c>
      <c r="CF7" s="27" t="s">
        <v>20</v>
      </c>
      <c r="CG7" s="132"/>
      <c r="CH7" s="28" t="s">
        <v>17</v>
      </c>
      <c r="CI7" s="29" t="s">
        <v>18</v>
      </c>
      <c r="CJ7" s="29" t="s">
        <v>19</v>
      </c>
      <c r="CK7" s="30" t="s">
        <v>21</v>
      </c>
      <c r="CL7" s="29" t="s">
        <v>22</v>
      </c>
      <c r="CM7" s="31" t="s">
        <v>23</v>
      </c>
    </row>
    <row r="8" spans="1:94" ht="24.95" customHeight="1" thickBot="1" x14ac:dyDescent="0.3">
      <c r="A8" s="32"/>
      <c r="B8" s="72"/>
      <c r="C8" s="80" t="s">
        <v>24</v>
      </c>
      <c r="F8" s="92" t="s">
        <v>25</v>
      </c>
      <c r="G8" s="93"/>
      <c r="H8" s="94"/>
      <c r="I8" s="226" t="s">
        <v>26</v>
      </c>
      <c r="J8" s="227"/>
      <c r="K8" s="227"/>
      <c r="L8" s="228"/>
      <c r="M8" s="226" t="s">
        <v>26</v>
      </c>
      <c r="N8" s="227"/>
      <c r="O8" s="227"/>
      <c r="P8" s="228"/>
      <c r="Q8" s="226" t="s">
        <v>26</v>
      </c>
      <c r="R8" s="227"/>
      <c r="S8" s="227"/>
      <c r="T8" s="228"/>
      <c r="U8" s="226" t="s">
        <v>26</v>
      </c>
      <c r="V8" s="227"/>
      <c r="W8" s="227"/>
      <c r="X8" s="228"/>
      <c r="Y8" s="226" t="s">
        <v>26</v>
      </c>
      <c r="Z8" s="227"/>
      <c r="AA8" s="227"/>
      <c r="AB8" s="228"/>
      <c r="AC8" s="226" t="s">
        <v>26</v>
      </c>
      <c r="AD8" s="227"/>
      <c r="AE8" s="227"/>
      <c r="AF8" s="228"/>
      <c r="AG8" s="226" t="s">
        <v>26</v>
      </c>
      <c r="AH8" s="227"/>
      <c r="AI8" s="227"/>
      <c r="AJ8" s="228"/>
      <c r="AK8" s="226" t="s">
        <v>26</v>
      </c>
      <c r="AL8" s="227"/>
      <c r="AM8" s="227"/>
      <c r="AN8" s="228"/>
      <c r="AO8" s="226" t="s">
        <v>26</v>
      </c>
      <c r="AP8" s="227"/>
      <c r="AQ8" s="227"/>
      <c r="AR8" s="228"/>
      <c r="AS8" s="226" t="s">
        <v>26</v>
      </c>
      <c r="AT8" s="227"/>
      <c r="AU8" s="227"/>
      <c r="AV8" s="228"/>
      <c r="AW8" s="226" t="s">
        <v>26</v>
      </c>
      <c r="AX8" s="227"/>
      <c r="AY8" s="227"/>
      <c r="AZ8" s="228"/>
      <c r="BA8" s="226" t="s">
        <v>26</v>
      </c>
      <c r="BB8" s="227"/>
      <c r="BC8" s="227"/>
      <c r="BD8" s="228"/>
      <c r="BE8" s="226"/>
      <c r="BF8" s="227"/>
      <c r="BG8" s="227"/>
      <c r="BH8" s="228"/>
      <c r="BI8" s="226"/>
      <c r="BJ8" s="227"/>
      <c r="BK8" s="227"/>
      <c r="BL8" s="228"/>
      <c r="BM8" s="226"/>
      <c r="BN8" s="227"/>
      <c r="BO8" s="227"/>
      <c r="BP8" s="228"/>
      <c r="BQ8" s="226"/>
      <c r="BR8" s="227"/>
      <c r="BS8" s="227"/>
      <c r="BT8" s="228"/>
      <c r="BU8" s="226"/>
      <c r="BV8" s="227"/>
      <c r="BW8" s="227"/>
      <c r="BX8" s="228"/>
      <c r="BY8" s="226"/>
      <c r="BZ8" s="227"/>
      <c r="CA8" s="227"/>
      <c r="CB8" s="228"/>
      <c r="CC8" s="226"/>
      <c r="CD8" s="227"/>
      <c r="CE8" s="227"/>
      <c r="CF8" s="228"/>
      <c r="CG8" s="133"/>
      <c r="CH8" s="262" t="s">
        <v>26</v>
      </c>
      <c r="CI8" s="263"/>
      <c r="CJ8" s="263"/>
      <c r="CK8" s="264"/>
      <c r="CL8" s="264"/>
      <c r="CM8" s="265"/>
    </row>
    <row r="9" spans="1:94" ht="26.25" customHeight="1" x14ac:dyDescent="0.25">
      <c r="A9" s="32"/>
      <c r="B9" s="71" t="s">
        <v>15</v>
      </c>
      <c r="C9" s="79" t="s">
        <v>16</v>
      </c>
      <c r="D9" s="25" t="s">
        <v>17</v>
      </c>
      <c r="E9" s="82"/>
      <c r="F9" s="26" t="s">
        <v>18</v>
      </c>
      <c r="G9" s="26" t="s">
        <v>19</v>
      </c>
      <c r="H9" s="27" t="s">
        <v>20</v>
      </c>
      <c r="I9" s="25" t="s">
        <v>17</v>
      </c>
      <c r="J9" s="26" t="s">
        <v>18</v>
      </c>
      <c r="K9" s="26" t="s">
        <v>19</v>
      </c>
      <c r="L9" s="27" t="s">
        <v>20</v>
      </c>
      <c r="M9" s="25" t="s">
        <v>17</v>
      </c>
      <c r="N9" s="26" t="s">
        <v>18</v>
      </c>
      <c r="O9" s="26" t="s">
        <v>19</v>
      </c>
      <c r="P9" s="27" t="s">
        <v>20</v>
      </c>
      <c r="Q9" s="25" t="s">
        <v>17</v>
      </c>
      <c r="R9" s="26" t="s">
        <v>18</v>
      </c>
      <c r="S9" s="26" t="s">
        <v>19</v>
      </c>
      <c r="T9" s="27" t="s">
        <v>20</v>
      </c>
      <c r="U9" s="25" t="s">
        <v>17</v>
      </c>
      <c r="V9" s="26" t="s">
        <v>18</v>
      </c>
      <c r="W9" s="26" t="s">
        <v>19</v>
      </c>
      <c r="X9" s="27" t="s">
        <v>20</v>
      </c>
      <c r="Y9" s="25" t="s">
        <v>17</v>
      </c>
      <c r="Z9" s="26" t="s">
        <v>18</v>
      </c>
      <c r="AA9" s="26" t="s">
        <v>19</v>
      </c>
      <c r="AB9" s="27" t="s">
        <v>20</v>
      </c>
      <c r="AC9" s="25" t="s">
        <v>17</v>
      </c>
      <c r="AD9" s="26" t="s">
        <v>18</v>
      </c>
      <c r="AE9" s="26" t="s">
        <v>19</v>
      </c>
      <c r="AF9" s="27" t="s">
        <v>20</v>
      </c>
      <c r="AG9" s="25" t="s">
        <v>17</v>
      </c>
      <c r="AH9" s="26" t="s">
        <v>18</v>
      </c>
      <c r="AI9" s="26" t="s">
        <v>19</v>
      </c>
      <c r="AJ9" s="27" t="s">
        <v>20</v>
      </c>
      <c r="AK9" s="25" t="s">
        <v>17</v>
      </c>
      <c r="AL9" s="26" t="s">
        <v>18</v>
      </c>
      <c r="AM9" s="26" t="s">
        <v>19</v>
      </c>
      <c r="AN9" s="27" t="s">
        <v>20</v>
      </c>
      <c r="AO9" s="25" t="s">
        <v>17</v>
      </c>
      <c r="AP9" s="26" t="s">
        <v>18</v>
      </c>
      <c r="AQ9" s="26" t="s">
        <v>19</v>
      </c>
      <c r="AR9" s="27" t="s">
        <v>20</v>
      </c>
      <c r="AS9" s="25" t="s">
        <v>17</v>
      </c>
      <c r="AT9" s="26" t="s">
        <v>18</v>
      </c>
      <c r="AU9" s="26" t="s">
        <v>19</v>
      </c>
      <c r="AV9" s="27" t="s">
        <v>20</v>
      </c>
      <c r="AW9" s="25" t="s">
        <v>17</v>
      </c>
      <c r="AX9" s="26" t="s">
        <v>18</v>
      </c>
      <c r="AY9" s="26" t="s">
        <v>19</v>
      </c>
      <c r="AZ9" s="27" t="s">
        <v>20</v>
      </c>
      <c r="BA9" s="25" t="s">
        <v>17</v>
      </c>
      <c r="BB9" s="26" t="s">
        <v>18</v>
      </c>
      <c r="BC9" s="26" t="s">
        <v>19</v>
      </c>
      <c r="BD9" s="27" t="s">
        <v>20</v>
      </c>
      <c r="BE9" s="25"/>
      <c r="BF9" s="26"/>
      <c r="BG9" s="26"/>
      <c r="BH9" s="27"/>
      <c r="BI9" s="25"/>
      <c r="BJ9" s="26"/>
      <c r="BK9" s="26"/>
      <c r="BL9" s="27"/>
      <c r="BM9" s="25"/>
      <c r="BN9" s="26"/>
      <c r="BO9" s="26"/>
      <c r="BP9" s="27"/>
      <c r="BQ9" s="25"/>
      <c r="BR9" s="26"/>
      <c r="BS9" s="26"/>
      <c r="BT9" s="27"/>
      <c r="BU9" s="25"/>
      <c r="BV9" s="26"/>
      <c r="BW9" s="26"/>
      <c r="BX9" s="27"/>
      <c r="BY9" s="25"/>
      <c r="BZ9" s="26"/>
      <c r="CA9" s="26"/>
      <c r="CB9" s="27"/>
      <c r="CC9" s="25"/>
      <c r="CD9" s="26"/>
      <c r="CE9" s="26"/>
      <c r="CF9" s="27"/>
      <c r="CG9" s="132"/>
      <c r="CH9" s="28" t="s">
        <v>17</v>
      </c>
      <c r="CI9" s="29" t="s">
        <v>18</v>
      </c>
      <c r="CJ9" s="29" t="s">
        <v>19</v>
      </c>
      <c r="CK9" s="30" t="s">
        <v>21</v>
      </c>
      <c r="CL9" s="29" t="s">
        <v>22</v>
      </c>
      <c r="CM9" s="31" t="s">
        <v>23</v>
      </c>
    </row>
    <row r="10" spans="1:94" ht="24.95" customHeight="1" x14ac:dyDescent="0.25">
      <c r="A10" s="32"/>
      <c r="B10" s="75"/>
      <c r="C10" s="80" t="s">
        <v>24</v>
      </c>
      <c r="D10" s="261" t="s">
        <v>25</v>
      </c>
      <c r="E10" s="226"/>
      <c r="F10" s="227"/>
      <c r="G10" s="227"/>
      <c r="H10" s="228"/>
      <c r="I10" s="229" t="s">
        <v>26</v>
      </c>
      <c r="J10" s="230"/>
      <c r="K10" s="230"/>
      <c r="L10" s="231"/>
      <c r="M10" s="229" t="s">
        <v>26</v>
      </c>
      <c r="N10" s="230"/>
      <c r="O10" s="230"/>
      <c r="P10" s="231"/>
      <c r="Q10" s="229" t="s">
        <v>26</v>
      </c>
      <c r="R10" s="230"/>
      <c r="S10" s="230"/>
      <c r="T10" s="231"/>
      <c r="U10" s="229" t="s">
        <v>26</v>
      </c>
      <c r="V10" s="230"/>
      <c r="W10" s="230"/>
      <c r="X10" s="231"/>
      <c r="Y10" s="229" t="s">
        <v>26</v>
      </c>
      <c r="Z10" s="230"/>
      <c r="AA10" s="230"/>
      <c r="AB10" s="231"/>
      <c r="AC10" s="229" t="s">
        <v>26</v>
      </c>
      <c r="AD10" s="230"/>
      <c r="AE10" s="230"/>
      <c r="AF10" s="231"/>
      <c r="AG10" s="229" t="s">
        <v>26</v>
      </c>
      <c r="AH10" s="230"/>
      <c r="AI10" s="230"/>
      <c r="AJ10" s="231"/>
      <c r="AK10" s="229" t="s">
        <v>26</v>
      </c>
      <c r="AL10" s="230"/>
      <c r="AM10" s="230"/>
      <c r="AN10" s="231"/>
      <c r="AO10" s="229" t="s">
        <v>26</v>
      </c>
      <c r="AP10" s="230"/>
      <c r="AQ10" s="230"/>
      <c r="AR10" s="231"/>
      <c r="AS10" s="229" t="s">
        <v>26</v>
      </c>
      <c r="AT10" s="230"/>
      <c r="AU10" s="230"/>
      <c r="AV10" s="231"/>
      <c r="AW10" s="229" t="s">
        <v>26</v>
      </c>
      <c r="AX10" s="230"/>
      <c r="AY10" s="230"/>
      <c r="AZ10" s="231"/>
      <c r="BA10" s="229" t="s">
        <v>26</v>
      </c>
      <c r="BB10" s="230"/>
      <c r="BC10" s="230"/>
      <c r="BD10" s="231"/>
      <c r="BE10" s="229"/>
      <c r="BF10" s="230"/>
      <c r="BG10" s="230"/>
      <c r="BH10" s="231"/>
      <c r="BI10" s="229"/>
      <c r="BJ10" s="230"/>
      <c r="BK10" s="230"/>
      <c r="BL10" s="231"/>
      <c r="BM10" s="229"/>
      <c r="BN10" s="230"/>
      <c r="BO10" s="230"/>
      <c r="BP10" s="231"/>
      <c r="BQ10" s="229"/>
      <c r="BR10" s="230"/>
      <c r="BS10" s="230"/>
      <c r="BT10" s="231"/>
      <c r="BU10" s="229"/>
      <c r="BV10" s="230"/>
      <c r="BW10" s="230"/>
      <c r="BX10" s="231"/>
      <c r="BY10" s="229"/>
      <c r="BZ10" s="230"/>
      <c r="CA10" s="230"/>
      <c r="CB10" s="231"/>
      <c r="CC10" s="229"/>
      <c r="CD10" s="230"/>
      <c r="CE10" s="230"/>
      <c r="CF10" s="231"/>
      <c r="CG10" s="139"/>
      <c r="CH10" s="258" t="s">
        <v>26</v>
      </c>
      <c r="CI10" s="259"/>
      <c r="CJ10" s="259"/>
      <c r="CK10" s="259"/>
      <c r="CL10" s="259"/>
      <c r="CM10" s="260"/>
    </row>
    <row r="11" spans="1:94" ht="26.25" customHeight="1" x14ac:dyDescent="0.25">
      <c r="A11" s="32"/>
      <c r="B11" s="76"/>
      <c r="C11" s="89" t="s">
        <v>33</v>
      </c>
      <c r="D11" s="33"/>
      <c r="E11" s="83"/>
      <c r="F11" s="34"/>
      <c r="G11" s="34"/>
      <c r="H11" s="35"/>
      <c r="I11" s="33"/>
      <c r="J11" s="34"/>
      <c r="K11" s="34"/>
      <c r="L11" s="35"/>
      <c r="M11" s="33"/>
      <c r="N11" s="34"/>
      <c r="O11" s="34"/>
      <c r="P11" s="35"/>
      <c r="Q11" s="33"/>
      <c r="R11" s="34"/>
      <c r="S11" s="34"/>
      <c r="T11" s="35"/>
      <c r="U11" s="33"/>
      <c r="V11" s="34"/>
      <c r="W11" s="34"/>
      <c r="X11" s="35"/>
      <c r="Y11" s="33"/>
      <c r="Z11" s="34"/>
      <c r="AA11" s="34"/>
      <c r="AB11" s="35"/>
      <c r="AC11" s="33"/>
      <c r="AD11" s="34"/>
      <c r="AE11" s="34"/>
      <c r="AF11" s="35"/>
      <c r="AG11" s="33"/>
      <c r="AH11" s="34"/>
      <c r="AI11" s="34"/>
      <c r="AJ11" s="35"/>
      <c r="AK11" s="33"/>
      <c r="AL11" s="34"/>
      <c r="AM11" s="34"/>
      <c r="AN11" s="35"/>
      <c r="AO11" s="33"/>
      <c r="AP11" s="34"/>
      <c r="AQ11" s="34"/>
      <c r="AR11" s="35"/>
      <c r="AS11" s="33"/>
      <c r="AT11" s="34"/>
      <c r="AU11" s="34"/>
      <c r="AV11" s="35"/>
      <c r="AW11" s="33"/>
      <c r="AX11" s="34"/>
      <c r="AY11" s="34"/>
      <c r="AZ11" s="35"/>
      <c r="BA11" s="33"/>
      <c r="BB11" s="34"/>
      <c r="BC11" s="34"/>
      <c r="BD11" s="35"/>
      <c r="BE11" s="33"/>
      <c r="BF11" s="34"/>
      <c r="BG11" s="34"/>
      <c r="BH11" s="35"/>
      <c r="BI11" s="33"/>
      <c r="BJ11" s="34"/>
      <c r="BK11" s="34"/>
      <c r="BL11" s="35"/>
      <c r="BM11" s="33"/>
      <c r="BN11" s="34"/>
      <c r="BO11" s="34"/>
      <c r="BP11" s="35"/>
      <c r="BQ11" s="33"/>
      <c r="BR11" s="34"/>
      <c r="BS11" s="34"/>
      <c r="BT11" s="35"/>
      <c r="BU11" s="33"/>
      <c r="BV11" s="34"/>
      <c r="BW11" s="34"/>
      <c r="BX11" s="35"/>
      <c r="BY11" s="33"/>
      <c r="BZ11" s="34"/>
      <c r="CA11" s="34"/>
      <c r="CB11" s="35"/>
      <c r="CC11" s="33"/>
      <c r="CD11" s="34"/>
      <c r="CE11" s="34"/>
      <c r="CF11" s="35"/>
      <c r="CG11" s="95"/>
      <c r="CH11" s="33"/>
      <c r="CI11" s="34"/>
      <c r="CJ11" s="34"/>
      <c r="CK11" s="36"/>
      <c r="CL11" s="34"/>
      <c r="CM11" s="37"/>
    </row>
    <row r="12" spans="1:94" ht="26.25" customHeight="1" x14ac:dyDescent="0.25">
      <c r="A12" s="32"/>
      <c r="B12" s="73"/>
      <c r="C12" s="38" t="s">
        <v>27</v>
      </c>
      <c r="D12" s="39"/>
      <c r="E12" s="84"/>
      <c r="F12" s="40"/>
      <c r="G12" s="40"/>
      <c r="H12" s="41"/>
      <c r="I12" s="39"/>
      <c r="J12" s="40"/>
      <c r="K12" s="40"/>
      <c r="L12" s="41"/>
      <c r="M12" s="39"/>
      <c r="N12" s="40"/>
      <c r="O12" s="40"/>
      <c r="P12" s="41"/>
      <c r="Q12" s="39"/>
      <c r="R12" s="40"/>
      <c r="S12" s="40"/>
      <c r="T12" s="41"/>
      <c r="U12" s="39"/>
      <c r="V12" s="40"/>
      <c r="W12" s="40"/>
      <c r="X12" s="41"/>
      <c r="Y12" s="39"/>
      <c r="Z12" s="40"/>
      <c r="AA12" s="40"/>
      <c r="AB12" s="41"/>
      <c r="AC12" s="39"/>
      <c r="AD12" s="40"/>
      <c r="AE12" s="40"/>
      <c r="AF12" s="41"/>
      <c r="AG12" s="39"/>
      <c r="AH12" s="40"/>
      <c r="AI12" s="40"/>
      <c r="AJ12" s="41"/>
      <c r="AK12" s="39"/>
      <c r="AL12" s="40"/>
      <c r="AM12" s="40"/>
      <c r="AN12" s="41"/>
      <c r="AO12" s="39"/>
      <c r="AP12" s="40"/>
      <c r="AQ12" s="40"/>
      <c r="AR12" s="41"/>
      <c r="AS12" s="39"/>
      <c r="AT12" s="40"/>
      <c r="AU12" s="40"/>
      <c r="AV12" s="41"/>
      <c r="AW12" s="39"/>
      <c r="AX12" s="40"/>
      <c r="AY12" s="40"/>
      <c r="AZ12" s="41"/>
      <c r="BA12" s="39"/>
      <c r="BB12" s="40"/>
      <c r="BC12" s="40"/>
      <c r="BD12" s="41"/>
      <c r="BE12" s="39"/>
      <c r="BF12" s="40"/>
      <c r="BG12" s="40"/>
      <c r="BH12" s="41"/>
      <c r="BI12" s="39"/>
      <c r="BJ12" s="40"/>
      <c r="BK12" s="40"/>
      <c r="BL12" s="41"/>
      <c r="BM12" s="39"/>
      <c r="BN12" s="40"/>
      <c r="BO12" s="40"/>
      <c r="BP12" s="41"/>
      <c r="BQ12" s="39"/>
      <c r="BR12" s="40"/>
      <c r="BS12" s="40"/>
      <c r="BT12" s="41"/>
      <c r="BU12" s="39"/>
      <c r="BV12" s="40"/>
      <c r="BW12" s="40"/>
      <c r="BX12" s="41"/>
      <c r="BY12" s="39"/>
      <c r="BZ12" s="40"/>
      <c r="CA12" s="40"/>
      <c r="CB12" s="41"/>
      <c r="CC12" s="39"/>
      <c r="CD12" s="40"/>
      <c r="CE12" s="40"/>
      <c r="CF12" s="41"/>
      <c r="CG12" s="134"/>
      <c r="CH12" s="39"/>
      <c r="CI12" s="40"/>
      <c r="CJ12" s="40"/>
      <c r="CK12" s="38"/>
      <c r="CL12" s="40"/>
      <c r="CM12" s="42"/>
      <c r="CO12" s="65"/>
      <c r="CP12" s="65"/>
    </row>
    <row r="13" spans="1:94" s="104" customFormat="1" ht="26.25" customHeight="1" x14ac:dyDescent="0.25">
      <c r="A13" s="97"/>
      <c r="B13" s="98"/>
      <c r="C13" s="99" t="s">
        <v>94</v>
      </c>
      <c r="D13" s="100"/>
      <c r="E13" s="109"/>
      <c r="F13" s="101"/>
      <c r="G13" s="101"/>
      <c r="H13" s="144">
        <f>H129*0.07</f>
        <v>280000</v>
      </c>
      <c r="I13" s="100"/>
      <c r="J13" s="101"/>
      <c r="K13" s="101"/>
      <c r="L13" s="102"/>
      <c r="M13" s="100"/>
      <c r="N13" s="101"/>
      <c r="O13" s="101"/>
      <c r="P13" s="102"/>
      <c r="Q13" s="100"/>
      <c r="R13" s="101"/>
      <c r="S13" s="101"/>
      <c r="T13" s="102"/>
      <c r="U13" s="100"/>
      <c r="V13" s="101"/>
      <c r="W13" s="101"/>
      <c r="X13" s="102"/>
      <c r="Y13" s="100"/>
      <c r="Z13" s="101"/>
      <c r="AA13" s="101"/>
      <c r="AB13" s="102"/>
      <c r="AC13" s="100"/>
      <c r="AD13" s="101"/>
      <c r="AE13" s="101"/>
      <c r="AF13" s="102"/>
      <c r="AG13" s="100"/>
      <c r="AH13" s="101"/>
      <c r="AI13" s="101"/>
      <c r="AJ13" s="102"/>
      <c r="AK13" s="100"/>
      <c r="AL13" s="101"/>
      <c r="AM13" s="101"/>
      <c r="AN13" s="102"/>
      <c r="AO13" s="100"/>
      <c r="AP13" s="101"/>
      <c r="AQ13" s="101"/>
      <c r="AR13" s="102"/>
      <c r="AS13" s="100"/>
      <c r="AT13" s="101"/>
      <c r="AU13" s="101"/>
      <c r="AV13" s="102"/>
      <c r="AW13" s="100"/>
      <c r="AX13" s="101"/>
      <c r="AY13" s="101"/>
      <c r="AZ13" s="102"/>
      <c r="BA13" s="100"/>
      <c r="BB13" s="101"/>
      <c r="BC13" s="101"/>
      <c r="BD13" s="102"/>
      <c r="BE13" s="100"/>
      <c r="BF13" s="101"/>
      <c r="BG13" s="101"/>
      <c r="BH13" s="102"/>
      <c r="BI13" s="100"/>
      <c r="BJ13" s="101"/>
      <c r="BK13" s="101"/>
      <c r="BL13" s="102"/>
      <c r="BM13" s="100"/>
      <c r="BN13" s="101"/>
      <c r="BO13" s="101"/>
      <c r="BP13" s="102"/>
      <c r="BQ13" s="100"/>
      <c r="BR13" s="101"/>
      <c r="BS13" s="101"/>
      <c r="BT13" s="102"/>
      <c r="BU13" s="100"/>
      <c r="BV13" s="101"/>
      <c r="BW13" s="101"/>
      <c r="BX13" s="102"/>
      <c r="BY13" s="100"/>
      <c r="BZ13" s="101"/>
      <c r="CA13" s="101"/>
      <c r="CB13" s="102"/>
      <c r="CC13" s="100"/>
      <c r="CD13" s="101"/>
      <c r="CE13" s="101"/>
      <c r="CF13" s="102"/>
      <c r="CG13" s="135"/>
      <c r="CH13" s="100"/>
      <c r="CI13" s="101"/>
      <c r="CJ13" s="101"/>
      <c r="CK13" s="99"/>
      <c r="CL13" s="101"/>
      <c r="CM13" s="103"/>
      <c r="CO13" s="105"/>
      <c r="CP13" s="105"/>
    </row>
    <row r="14" spans="1:94" ht="26.25" customHeight="1" x14ac:dyDescent="0.25">
      <c r="A14" s="32"/>
      <c r="B14" s="74">
        <v>1</v>
      </c>
      <c r="C14" s="113" t="s">
        <v>87</v>
      </c>
      <c r="D14" s="112">
        <v>4</v>
      </c>
      <c r="E14" s="130">
        <f>D14-I14-M14-Q14-U14-Y14-AC14-AK14-AO14-AS14-AW14-BA14-BE14-BI14</f>
        <v>4</v>
      </c>
      <c r="F14" s="44">
        <f>H14/D14</f>
        <v>4200</v>
      </c>
      <c r="G14" s="116"/>
      <c r="H14" s="45">
        <f>H13*0.06</f>
        <v>16800</v>
      </c>
      <c r="I14" s="66"/>
      <c r="J14" s="67">
        <f>I14*$F$14</f>
        <v>0</v>
      </c>
      <c r="K14" s="67">
        <f>I14*$G$14</f>
        <v>0</v>
      </c>
      <c r="L14" s="45">
        <f t="shared" ref="L14" si="0">SUM(J14:K14)</f>
        <v>0</v>
      </c>
      <c r="M14" s="66"/>
      <c r="N14" s="67">
        <f t="shared" ref="N14" si="1">M14*$F$14</f>
        <v>0</v>
      </c>
      <c r="O14" s="67">
        <f t="shared" ref="O14" si="2">M14*$G$14</f>
        <v>0</v>
      </c>
      <c r="P14" s="45">
        <f t="shared" ref="P14:P24" si="3">SUM(N14:O14)</f>
        <v>0</v>
      </c>
      <c r="Q14" s="66"/>
      <c r="R14" s="67">
        <f t="shared" ref="R14" si="4">Q14*$F$14</f>
        <v>0</v>
      </c>
      <c r="S14" s="67">
        <f t="shared" ref="S14" si="5">Q14*$G$14</f>
        <v>0</v>
      </c>
      <c r="T14" s="45">
        <f t="shared" ref="T14:T24" si="6">SUM(R14:S14)</f>
        <v>0</v>
      </c>
      <c r="U14" s="66"/>
      <c r="V14" s="67">
        <f t="shared" ref="V14" si="7">U14*$F$14</f>
        <v>0</v>
      </c>
      <c r="W14" s="67">
        <f t="shared" ref="W14" si="8">U14*$G$14</f>
        <v>0</v>
      </c>
      <c r="X14" s="45">
        <f t="shared" ref="X14:X24" si="9">SUM(V14:W14)</f>
        <v>0</v>
      </c>
      <c r="Y14" s="66"/>
      <c r="Z14" s="67">
        <f t="shared" ref="Z14" si="10">Y14*$F$14</f>
        <v>0</v>
      </c>
      <c r="AA14" s="67">
        <f t="shared" ref="AA14" si="11">Y14*$G$14</f>
        <v>0</v>
      </c>
      <c r="AB14" s="45">
        <f t="shared" ref="AB14:AB24" si="12">SUM(Z14:AA14)</f>
        <v>0</v>
      </c>
      <c r="AC14" s="66"/>
      <c r="AD14" s="67">
        <f t="shared" ref="AD14" si="13">AC14*$F$14</f>
        <v>0</v>
      </c>
      <c r="AE14" s="67">
        <f t="shared" ref="AE14" si="14">AC14*$G$14</f>
        <v>0</v>
      </c>
      <c r="AF14" s="45">
        <f t="shared" ref="AF14:AF24" si="15">SUM(AD14:AE14)</f>
        <v>0</v>
      </c>
      <c r="AG14" s="66"/>
      <c r="AH14" s="67">
        <f t="shared" ref="AH14" si="16">AG14*$F$14</f>
        <v>0</v>
      </c>
      <c r="AI14" s="67">
        <f t="shared" ref="AI14" si="17">AG14*$G$14</f>
        <v>0</v>
      </c>
      <c r="AJ14" s="45">
        <f t="shared" ref="AJ14:AJ24" si="18">SUM(AH14:AI14)</f>
        <v>0</v>
      </c>
      <c r="AK14" s="66"/>
      <c r="AL14" s="67">
        <f t="shared" ref="AL14" si="19">AK14*$F$14</f>
        <v>0</v>
      </c>
      <c r="AM14" s="67">
        <f t="shared" ref="AM14" si="20">AK14*$G$14</f>
        <v>0</v>
      </c>
      <c r="AN14" s="45">
        <f t="shared" ref="AN14:AN24" si="21">SUM(AL14:AM14)</f>
        <v>0</v>
      </c>
      <c r="AO14" s="66"/>
      <c r="AP14" s="67">
        <f t="shared" ref="AP14" si="22">AO14*$F$14</f>
        <v>0</v>
      </c>
      <c r="AQ14" s="67">
        <f t="shared" ref="AQ14" si="23">AO14*$G$14</f>
        <v>0</v>
      </c>
      <c r="AR14" s="45">
        <f t="shared" ref="AR14:AR24" si="24">SUM(AP14:AQ14)</f>
        <v>0</v>
      </c>
      <c r="AS14" s="66"/>
      <c r="AT14" s="67">
        <f t="shared" ref="AT14" si="25">AS14*$F$14</f>
        <v>0</v>
      </c>
      <c r="AU14" s="67">
        <f t="shared" ref="AU14" si="26">AS14*$G$14</f>
        <v>0</v>
      </c>
      <c r="AV14" s="45">
        <f t="shared" ref="AV14:AV24" si="27">SUM(AT14:AU14)</f>
        <v>0</v>
      </c>
      <c r="AW14" s="66"/>
      <c r="AX14" s="67">
        <f t="shared" ref="AX14" si="28">AW14*$F$14</f>
        <v>0</v>
      </c>
      <c r="AY14" s="67">
        <f t="shared" ref="AY14" si="29">AW14*$G$14</f>
        <v>0</v>
      </c>
      <c r="AZ14" s="45">
        <f t="shared" ref="AZ14:AZ24" si="30">SUM(AX14:AY14)</f>
        <v>0</v>
      </c>
      <c r="BA14" s="66"/>
      <c r="BB14" s="67">
        <f t="shared" ref="BB14" si="31">BA14*$F$14</f>
        <v>0</v>
      </c>
      <c r="BC14" s="67">
        <f t="shared" ref="BC14" si="32">BA14*$G$14</f>
        <v>0</v>
      </c>
      <c r="BD14" s="45">
        <f t="shared" ref="BD14:BD24" si="33">SUM(BB14:BC14)</f>
        <v>0</v>
      </c>
      <c r="BE14" s="66"/>
      <c r="BF14" s="44">
        <f t="shared" ref="BF14" si="34">F14*BE14</f>
        <v>0</v>
      </c>
      <c r="BG14" s="44">
        <f t="shared" ref="BG14" si="35">G14*BE14</f>
        <v>0</v>
      </c>
      <c r="BH14" s="45">
        <f t="shared" ref="BH14" si="36">BG14+BF14</f>
        <v>0</v>
      </c>
      <c r="BI14" s="66"/>
      <c r="BJ14" s="44">
        <f t="shared" ref="BJ14" si="37">BI14*F14</f>
        <v>0</v>
      </c>
      <c r="BK14" s="44"/>
      <c r="BL14" s="45">
        <f t="shared" ref="BL14" si="38">BK14+BJ14</f>
        <v>0</v>
      </c>
      <c r="BM14" s="66"/>
      <c r="BN14" s="67">
        <f t="shared" ref="BN14:BN24" si="39">BM14*F14</f>
        <v>0</v>
      </c>
      <c r="BO14" s="67"/>
      <c r="BP14" s="45">
        <f>BO14+BN14</f>
        <v>0</v>
      </c>
      <c r="BQ14" s="66"/>
      <c r="BR14" s="44">
        <f t="shared" ref="BR14:BR24" si="40">BQ14*F14</f>
        <v>0</v>
      </c>
      <c r="BS14" s="67"/>
      <c r="BT14" s="45">
        <f>BS14+BR14</f>
        <v>0</v>
      </c>
      <c r="BU14" s="66"/>
      <c r="BV14" s="44">
        <f t="shared" ref="BV14:BV24" si="41">F14*BU14</f>
        <v>0</v>
      </c>
      <c r="BW14" s="67"/>
      <c r="BX14" s="45">
        <f>BW14+BV14</f>
        <v>0</v>
      </c>
      <c r="BY14" s="66"/>
      <c r="BZ14" s="44">
        <f t="shared" ref="BZ14:BZ24" si="42">BY14*J14</f>
        <v>0</v>
      </c>
      <c r="CA14" s="67"/>
      <c r="CB14" s="45">
        <f>CA14+BZ14</f>
        <v>0</v>
      </c>
      <c r="CC14" s="66"/>
      <c r="CD14" s="44">
        <f t="shared" ref="CD14:CD24" si="43">CC14*N14</f>
        <v>0</v>
      </c>
      <c r="CE14" s="67"/>
      <c r="CF14" s="45">
        <f>CE14+CD14</f>
        <v>0</v>
      </c>
      <c r="CG14" s="136"/>
      <c r="CH14" s="91">
        <f>I14+M14+Q14+U14+Y14+AC14+AG14+AK14+AO14+BA14+BE14+BI14+BM14+BQ14+BU14+BY14+CC14</f>
        <v>0</v>
      </c>
      <c r="CI14" s="47">
        <f t="shared" ref="CI14" si="44">CH14*F14</f>
        <v>0</v>
      </c>
      <c r="CJ14" s="47">
        <f t="shared" ref="CJ14:CJ23" si="45">CH14*G14</f>
        <v>0</v>
      </c>
      <c r="CK14" s="48">
        <f t="shared" ref="CK14:CK63" si="46">SUM(CI14:CJ14)</f>
        <v>0</v>
      </c>
      <c r="CL14" s="49">
        <f t="shared" ref="CL14:CL23" si="47">D14-CH14</f>
        <v>4</v>
      </c>
      <c r="CM14" s="50">
        <f>H14-CK14</f>
        <v>16800</v>
      </c>
      <c r="CO14" s="65"/>
      <c r="CP14" s="65"/>
    </row>
    <row r="15" spans="1:94" ht="26.25" customHeight="1" x14ac:dyDescent="0.25">
      <c r="A15" s="32"/>
      <c r="B15" s="74">
        <v>2</v>
      </c>
      <c r="C15" s="113" t="s">
        <v>86</v>
      </c>
      <c r="D15" s="112">
        <v>4</v>
      </c>
      <c r="E15" s="130">
        <f>D15-I15-M15-Q15-U15-Y15-AC15-AK15-AO15-AS15-AW15-BA15-BE15-BI15</f>
        <v>4</v>
      </c>
      <c r="F15" s="44">
        <f>H15/D15</f>
        <v>4200</v>
      </c>
      <c r="G15" s="116"/>
      <c r="H15" s="45">
        <f>H13*0.06</f>
        <v>16800</v>
      </c>
      <c r="I15" s="66"/>
      <c r="J15" s="67">
        <f>I15*$F$14</f>
        <v>0</v>
      </c>
      <c r="K15" s="67">
        <f>I15*$G$14</f>
        <v>0</v>
      </c>
      <c r="L15" s="45">
        <f t="shared" ref="L15" si="48">SUM(J15:K15)</f>
        <v>0</v>
      </c>
      <c r="M15" s="66"/>
      <c r="N15" s="67">
        <f t="shared" ref="N15" si="49">M15*$F$14</f>
        <v>0</v>
      </c>
      <c r="O15" s="67">
        <f t="shared" ref="O15" si="50">M15*$G$14</f>
        <v>0</v>
      </c>
      <c r="P15" s="45">
        <f t="shared" ref="P15" si="51">SUM(N15:O15)</f>
        <v>0</v>
      </c>
      <c r="Q15" s="66"/>
      <c r="R15" s="67">
        <f t="shared" ref="R15" si="52">Q15*$F$14</f>
        <v>0</v>
      </c>
      <c r="S15" s="67">
        <f t="shared" ref="S15" si="53">Q15*$G$14</f>
        <v>0</v>
      </c>
      <c r="T15" s="45">
        <f t="shared" ref="T15" si="54">SUM(R15:S15)</f>
        <v>0</v>
      </c>
      <c r="U15" s="66"/>
      <c r="V15" s="67">
        <f t="shared" ref="V15" si="55">U15*$F$14</f>
        <v>0</v>
      </c>
      <c r="W15" s="67">
        <f t="shared" ref="W15" si="56">U15*$G$14</f>
        <v>0</v>
      </c>
      <c r="X15" s="45">
        <f t="shared" ref="X15" si="57">SUM(V15:W15)</f>
        <v>0</v>
      </c>
      <c r="Y15" s="66"/>
      <c r="Z15" s="67">
        <f t="shared" ref="Z15" si="58">Y15*$F$14</f>
        <v>0</v>
      </c>
      <c r="AA15" s="67">
        <f t="shared" ref="AA15" si="59">Y15*$G$14</f>
        <v>0</v>
      </c>
      <c r="AB15" s="45">
        <f t="shared" ref="AB15" si="60">SUM(Z15:AA15)</f>
        <v>0</v>
      </c>
      <c r="AC15" s="66"/>
      <c r="AD15" s="67">
        <f t="shared" ref="AD15" si="61">AC15*$F$14</f>
        <v>0</v>
      </c>
      <c r="AE15" s="67">
        <f t="shared" ref="AE15" si="62">AC15*$G$14</f>
        <v>0</v>
      </c>
      <c r="AF15" s="45">
        <f t="shared" ref="AF15" si="63">SUM(AD15:AE15)</f>
        <v>0</v>
      </c>
      <c r="AG15" s="66"/>
      <c r="AH15" s="67">
        <f t="shared" ref="AH15" si="64">AG15*$F$14</f>
        <v>0</v>
      </c>
      <c r="AI15" s="67">
        <f t="shared" ref="AI15" si="65">AG15*$G$14</f>
        <v>0</v>
      </c>
      <c r="AJ15" s="45">
        <f t="shared" ref="AJ15" si="66">SUM(AH15:AI15)</f>
        <v>0</v>
      </c>
      <c r="AK15" s="66"/>
      <c r="AL15" s="67">
        <f t="shared" ref="AL15" si="67">AK15*$F$14</f>
        <v>0</v>
      </c>
      <c r="AM15" s="67">
        <f t="shared" ref="AM15" si="68">AK15*$G$14</f>
        <v>0</v>
      </c>
      <c r="AN15" s="45">
        <f t="shared" ref="AN15" si="69">SUM(AL15:AM15)</f>
        <v>0</v>
      </c>
      <c r="AO15" s="66"/>
      <c r="AP15" s="67">
        <f t="shared" ref="AP15" si="70">AO15*$F$14</f>
        <v>0</v>
      </c>
      <c r="AQ15" s="67">
        <f t="shared" ref="AQ15" si="71">AO15*$G$14</f>
        <v>0</v>
      </c>
      <c r="AR15" s="45">
        <f t="shared" ref="AR15" si="72">SUM(AP15:AQ15)</f>
        <v>0</v>
      </c>
      <c r="AS15" s="66"/>
      <c r="AT15" s="67">
        <f t="shared" ref="AT15" si="73">AS15*$F$14</f>
        <v>0</v>
      </c>
      <c r="AU15" s="67">
        <f t="shared" ref="AU15" si="74">AS15*$G$14</f>
        <v>0</v>
      </c>
      <c r="AV15" s="45">
        <f t="shared" ref="AV15" si="75">SUM(AT15:AU15)</f>
        <v>0</v>
      </c>
      <c r="AW15" s="66"/>
      <c r="AX15" s="67">
        <f t="shared" ref="AX15" si="76">AW15*$F$14</f>
        <v>0</v>
      </c>
      <c r="AY15" s="67">
        <f t="shared" ref="AY15" si="77">AW15*$G$14</f>
        <v>0</v>
      </c>
      <c r="AZ15" s="45">
        <f t="shared" ref="AZ15" si="78">SUM(AX15:AY15)</f>
        <v>0</v>
      </c>
      <c r="BA15" s="66"/>
      <c r="BB15" s="67">
        <f t="shared" ref="BB15" si="79">BA15*$F$14</f>
        <v>0</v>
      </c>
      <c r="BC15" s="67">
        <f t="shared" ref="BC15" si="80">BA15*$G$14</f>
        <v>0</v>
      </c>
      <c r="BD15" s="45">
        <f t="shared" ref="BD15" si="81">SUM(BB15:BC15)</f>
        <v>0</v>
      </c>
      <c r="BE15" s="66"/>
      <c r="BF15" s="44">
        <f t="shared" ref="BF15" si="82">F15*BE15</f>
        <v>0</v>
      </c>
      <c r="BG15" s="44">
        <f t="shared" ref="BG15" si="83">G15*BE15</f>
        <v>0</v>
      </c>
      <c r="BH15" s="45">
        <f t="shared" ref="BH15" si="84">BG15+BF15</f>
        <v>0</v>
      </c>
      <c r="BI15" s="66"/>
      <c r="BJ15" s="44">
        <f t="shared" ref="BJ15" si="85">BI15*F15</f>
        <v>0</v>
      </c>
      <c r="BK15" s="44"/>
      <c r="BL15" s="45">
        <f t="shared" ref="BL15" si="86">BK15+BJ15</f>
        <v>0</v>
      </c>
      <c r="BM15" s="66"/>
      <c r="BN15" s="67">
        <f t="shared" ref="BN15" si="87">BM15*F15</f>
        <v>0</v>
      </c>
      <c r="BO15" s="67"/>
      <c r="BP15" s="45">
        <f>BO15+BN15</f>
        <v>0</v>
      </c>
      <c r="BQ15" s="66"/>
      <c r="BR15" s="44">
        <f t="shared" ref="BR15" si="88">BQ15*F15</f>
        <v>0</v>
      </c>
      <c r="BS15" s="67"/>
      <c r="BT15" s="45">
        <f>BS15+BR15</f>
        <v>0</v>
      </c>
      <c r="BU15" s="66"/>
      <c r="BV15" s="44">
        <f t="shared" ref="BV15" si="89">F15*BU15</f>
        <v>0</v>
      </c>
      <c r="BW15" s="67"/>
      <c r="BX15" s="45">
        <f>BW15+BV15</f>
        <v>0</v>
      </c>
      <c r="BY15" s="66"/>
      <c r="BZ15" s="44">
        <f t="shared" ref="BZ15" si="90">BY15*J15</f>
        <v>0</v>
      </c>
      <c r="CA15" s="67"/>
      <c r="CB15" s="45">
        <f>CA15+BZ15</f>
        <v>0</v>
      </c>
      <c r="CC15" s="66"/>
      <c r="CD15" s="44">
        <f t="shared" ref="CD15" si="91">CC15*N15</f>
        <v>0</v>
      </c>
      <c r="CE15" s="67"/>
      <c r="CF15" s="45">
        <f>CE15+CD15</f>
        <v>0</v>
      </c>
      <c r="CG15" s="136"/>
      <c r="CH15" s="91">
        <f>I15+M15+Q15+U15+Y15+AC15+AG15+AK15+AO15+BA15+BE15+BI15+BM15+BQ15+BU15+BY15+CC15</f>
        <v>0</v>
      </c>
      <c r="CI15" s="47">
        <f t="shared" ref="CI15" si="92">CH15*F15</f>
        <v>0</v>
      </c>
      <c r="CJ15" s="47">
        <f t="shared" ref="CJ15" si="93">CH15*G15</f>
        <v>0</v>
      </c>
      <c r="CK15" s="48">
        <f t="shared" ref="CK15" si="94">SUM(CI15:CJ15)</f>
        <v>0</v>
      </c>
      <c r="CL15" s="49">
        <f t="shared" ref="CL15" si="95">D15-CH15</f>
        <v>4</v>
      </c>
      <c r="CM15" s="50">
        <f>H15-CK15</f>
        <v>16800</v>
      </c>
      <c r="CO15" s="65"/>
      <c r="CP15" s="65"/>
    </row>
    <row r="16" spans="1:94" ht="26.25" customHeight="1" x14ac:dyDescent="0.25">
      <c r="A16" s="32"/>
      <c r="B16" s="74">
        <v>3</v>
      </c>
      <c r="C16" s="113" t="s">
        <v>89</v>
      </c>
      <c r="D16" s="112">
        <v>4</v>
      </c>
      <c r="E16" s="130">
        <f t="shared" ref="E16" si="96">D16-I16-M16-Q16-U16-Y16-AC16-AK16-AO16-AS16-AW16-BA16-BE16-BI16</f>
        <v>4</v>
      </c>
      <c r="F16" s="44">
        <f t="shared" ref="F16:F25" si="97">H16/D16</f>
        <v>4200</v>
      </c>
      <c r="G16" s="116"/>
      <c r="H16" s="45">
        <f>H13*0.06</f>
        <v>16800</v>
      </c>
      <c r="I16" s="66"/>
      <c r="J16" s="67">
        <f>I16*$F$16</f>
        <v>0</v>
      </c>
      <c r="K16" s="67">
        <f>I16*$G$16</f>
        <v>0</v>
      </c>
      <c r="L16" s="45">
        <f t="shared" ref="L16:L24" si="98">SUM(J16:K16)</f>
        <v>0</v>
      </c>
      <c r="M16" s="66"/>
      <c r="N16" s="67">
        <f t="shared" ref="N16" si="99">M16*$F$16</f>
        <v>0</v>
      </c>
      <c r="O16" s="67">
        <f t="shared" ref="O16" si="100">M16*$G$16</f>
        <v>0</v>
      </c>
      <c r="P16" s="45">
        <f t="shared" si="3"/>
        <v>0</v>
      </c>
      <c r="Q16" s="66"/>
      <c r="R16" s="67">
        <f t="shared" ref="R16" si="101">Q16*$F$16</f>
        <v>0</v>
      </c>
      <c r="S16" s="67">
        <f t="shared" ref="S16" si="102">Q16*$G$16</f>
        <v>0</v>
      </c>
      <c r="T16" s="45">
        <f t="shared" si="6"/>
        <v>0</v>
      </c>
      <c r="U16" s="66"/>
      <c r="V16" s="67">
        <f t="shared" ref="V16" si="103">U16*$F$16</f>
        <v>0</v>
      </c>
      <c r="W16" s="67">
        <f t="shared" ref="W16" si="104">U16*$G$16</f>
        <v>0</v>
      </c>
      <c r="X16" s="45">
        <f t="shared" si="9"/>
        <v>0</v>
      </c>
      <c r="Y16" s="66"/>
      <c r="Z16" s="67">
        <f t="shared" ref="Z16" si="105">Y16*$F$16</f>
        <v>0</v>
      </c>
      <c r="AA16" s="67">
        <f t="shared" ref="AA16" si="106">Y16*$G$16</f>
        <v>0</v>
      </c>
      <c r="AB16" s="45">
        <f t="shared" si="12"/>
        <v>0</v>
      </c>
      <c r="AC16" s="66"/>
      <c r="AD16" s="67">
        <f t="shared" ref="AD16" si="107">AC16*$F$16</f>
        <v>0</v>
      </c>
      <c r="AE16" s="67">
        <f t="shared" ref="AE16" si="108">AC16*$G$16</f>
        <v>0</v>
      </c>
      <c r="AF16" s="45">
        <f t="shared" si="15"/>
        <v>0</v>
      </c>
      <c r="AG16" s="66"/>
      <c r="AH16" s="67">
        <f t="shared" ref="AH16" si="109">AG16*$F$16</f>
        <v>0</v>
      </c>
      <c r="AI16" s="67">
        <f t="shared" ref="AI16" si="110">AG16*$G$16</f>
        <v>0</v>
      </c>
      <c r="AJ16" s="45">
        <f t="shared" si="18"/>
        <v>0</v>
      </c>
      <c r="AK16" s="66"/>
      <c r="AL16" s="67">
        <f t="shared" ref="AL16" si="111">AK16*$F$16</f>
        <v>0</v>
      </c>
      <c r="AM16" s="67">
        <f t="shared" ref="AM16" si="112">AK16*$G$16</f>
        <v>0</v>
      </c>
      <c r="AN16" s="45">
        <f t="shared" si="21"/>
        <v>0</v>
      </c>
      <c r="AO16" s="66"/>
      <c r="AP16" s="67">
        <f t="shared" ref="AP16" si="113">AO16*$F$16</f>
        <v>0</v>
      </c>
      <c r="AQ16" s="67">
        <f t="shared" ref="AQ16" si="114">AO16*$G$16</f>
        <v>0</v>
      </c>
      <c r="AR16" s="45">
        <f t="shared" si="24"/>
        <v>0</v>
      </c>
      <c r="AS16" s="66"/>
      <c r="AT16" s="67">
        <f t="shared" ref="AT16" si="115">AS16*$F$16</f>
        <v>0</v>
      </c>
      <c r="AU16" s="67">
        <f t="shared" ref="AU16" si="116">AS16*$G$16</f>
        <v>0</v>
      </c>
      <c r="AV16" s="45">
        <f t="shared" si="27"/>
        <v>0</v>
      </c>
      <c r="AW16" s="66"/>
      <c r="AX16" s="67">
        <f t="shared" ref="AX16" si="117">AW16*$F$16</f>
        <v>0</v>
      </c>
      <c r="AY16" s="67">
        <f t="shared" ref="AY16" si="118">AW16*$G$16</f>
        <v>0</v>
      </c>
      <c r="AZ16" s="45">
        <f t="shared" si="30"/>
        <v>0</v>
      </c>
      <c r="BA16" s="66"/>
      <c r="BB16" s="67">
        <f t="shared" ref="BB16" si="119">BA16*$F$16</f>
        <v>0</v>
      </c>
      <c r="BC16" s="67">
        <f t="shared" ref="BC16" si="120">BA16*$G$16</f>
        <v>0</v>
      </c>
      <c r="BD16" s="45">
        <f t="shared" si="33"/>
        <v>0</v>
      </c>
      <c r="BE16" s="66"/>
      <c r="BF16" s="44">
        <f t="shared" ref="BF16:BF24" si="121">F16*BE16</f>
        <v>0</v>
      </c>
      <c r="BG16" s="44">
        <f t="shared" ref="BG16:BG24" si="122">G16*BE16</f>
        <v>0</v>
      </c>
      <c r="BH16" s="45">
        <f t="shared" ref="BH16:BH24" si="123">BG16+BF16</f>
        <v>0</v>
      </c>
      <c r="BI16" s="66"/>
      <c r="BJ16" s="44">
        <f t="shared" ref="BJ16:BJ24" si="124">BI16*F16</f>
        <v>0</v>
      </c>
      <c r="BK16" s="44"/>
      <c r="BL16" s="45">
        <f t="shared" ref="BL16:BL24" si="125">BK16+BJ16</f>
        <v>0</v>
      </c>
      <c r="BM16" s="66"/>
      <c r="BN16" s="67">
        <f t="shared" si="39"/>
        <v>0</v>
      </c>
      <c r="BO16" s="67"/>
      <c r="BP16" s="45">
        <f t="shared" ref="BP16:BP24" si="126">BO16+BN16</f>
        <v>0</v>
      </c>
      <c r="BQ16" s="66"/>
      <c r="BR16" s="44">
        <f t="shared" si="40"/>
        <v>0</v>
      </c>
      <c r="BS16" s="67"/>
      <c r="BT16" s="45">
        <f t="shared" ref="BT16:BT24" si="127">BS16+BR16</f>
        <v>0</v>
      </c>
      <c r="BU16" s="66"/>
      <c r="BV16" s="44">
        <f t="shared" si="41"/>
        <v>0</v>
      </c>
      <c r="BW16" s="67"/>
      <c r="BX16" s="45">
        <f t="shared" ref="BX16:BX24" si="128">BW16+BV16</f>
        <v>0</v>
      </c>
      <c r="BY16" s="66"/>
      <c r="BZ16" s="44">
        <f t="shared" si="42"/>
        <v>0</v>
      </c>
      <c r="CA16" s="67"/>
      <c r="CB16" s="45">
        <f t="shared" ref="CB16:CB24" si="129">CA16+BZ16</f>
        <v>0</v>
      </c>
      <c r="CC16" s="66"/>
      <c r="CD16" s="44">
        <f t="shared" si="43"/>
        <v>0</v>
      </c>
      <c r="CE16" s="67"/>
      <c r="CF16" s="45">
        <f t="shared" ref="CF16:CF24" si="130">CE16+CD16</f>
        <v>0</v>
      </c>
      <c r="CG16" s="136"/>
      <c r="CH16" s="91">
        <f t="shared" ref="CH16:CH24" si="131">I16+M16+Q16+U16+Y16+AC16+AG16+AK16+AO16+BA16+BE16+BI16+BM16+BQ16+BU16+BY16+CC16</f>
        <v>0</v>
      </c>
      <c r="CI16" s="47">
        <f>CH16*F16</f>
        <v>0</v>
      </c>
      <c r="CJ16" s="47">
        <f t="shared" si="45"/>
        <v>0</v>
      </c>
      <c r="CK16" s="48">
        <f t="shared" si="46"/>
        <v>0</v>
      </c>
      <c r="CL16" s="49">
        <f t="shared" si="47"/>
        <v>4</v>
      </c>
      <c r="CM16" s="50">
        <f t="shared" ref="CM16:CM23" si="132">H16-CK16</f>
        <v>16800</v>
      </c>
      <c r="CO16" s="65"/>
      <c r="CP16" s="65"/>
    </row>
    <row r="17" spans="1:94" ht="26.25" customHeight="1" x14ac:dyDescent="0.25">
      <c r="A17" s="32"/>
      <c r="B17" s="74">
        <v>4</v>
      </c>
      <c r="C17" s="113" t="s">
        <v>88</v>
      </c>
      <c r="D17" s="112">
        <v>4</v>
      </c>
      <c r="E17" s="130">
        <f t="shared" ref="E17" si="133">D17-I17-M17-Q17-U17-Y17-AC17-AK17-AO17-AS17-AW17-BA17-BE17-BI17</f>
        <v>4</v>
      </c>
      <c r="F17" s="44">
        <f t="shared" ref="F17" si="134">H17/D17</f>
        <v>4200</v>
      </c>
      <c r="G17" s="116"/>
      <c r="H17" s="45">
        <f>H13*0.06</f>
        <v>16800</v>
      </c>
      <c r="I17" s="66"/>
      <c r="J17" s="67">
        <f>I17*$F$16</f>
        <v>0</v>
      </c>
      <c r="K17" s="67">
        <f>I17*$G$16</f>
        <v>0</v>
      </c>
      <c r="L17" s="45">
        <f t="shared" ref="L17" si="135">SUM(J17:K17)</f>
        <v>0</v>
      </c>
      <c r="M17" s="66"/>
      <c r="N17" s="67">
        <f t="shared" ref="N17" si="136">M17*$F$16</f>
        <v>0</v>
      </c>
      <c r="O17" s="67">
        <f t="shared" ref="O17" si="137">M17*$G$16</f>
        <v>0</v>
      </c>
      <c r="P17" s="45">
        <f t="shared" ref="P17" si="138">SUM(N17:O17)</f>
        <v>0</v>
      </c>
      <c r="Q17" s="66"/>
      <c r="R17" s="67">
        <f t="shared" ref="R17" si="139">Q17*$F$16</f>
        <v>0</v>
      </c>
      <c r="S17" s="67">
        <f t="shared" ref="S17" si="140">Q17*$G$16</f>
        <v>0</v>
      </c>
      <c r="T17" s="45">
        <f t="shared" ref="T17" si="141">SUM(R17:S17)</f>
        <v>0</v>
      </c>
      <c r="U17" s="66"/>
      <c r="V17" s="67">
        <f t="shared" ref="V17" si="142">U17*$F$16</f>
        <v>0</v>
      </c>
      <c r="W17" s="67">
        <f t="shared" ref="W17" si="143">U17*$G$16</f>
        <v>0</v>
      </c>
      <c r="X17" s="45">
        <f t="shared" ref="X17" si="144">SUM(V17:W17)</f>
        <v>0</v>
      </c>
      <c r="Y17" s="66"/>
      <c r="Z17" s="67">
        <f t="shared" ref="Z17" si="145">Y17*$F$16</f>
        <v>0</v>
      </c>
      <c r="AA17" s="67">
        <f t="shared" ref="AA17" si="146">Y17*$G$16</f>
        <v>0</v>
      </c>
      <c r="AB17" s="45">
        <f t="shared" ref="AB17" si="147">SUM(Z17:AA17)</f>
        <v>0</v>
      </c>
      <c r="AC17" s="66"/>
      <c r="AD17" s="67">
        <f t="shared" ref="AD17" si="148">AC17*$F$16</f>
        <v>0</v>
      </c>
      <c r="AE17" s="67">
        <f t="shared" ref="AE17" si="149">AC17*$G$16</f>
        <v>0</v>
      </c>
      <c r="AF17" s="45">
        <f t="shared" ref="AF17" si="150">SUM(AD17:AE17)</f>
        <v>0</v>
      </c>
      <c r="AG17" s="66"/>
      <c r="AH17" s="67">
        <f t="shared" ref="AH17" si="151">AG17*$F$16</f>
        <v>0</v>
      </c>
      <c r="AI17" s="67">
        <f t="shared" ref="AI17" si="152">AG17*$G$16</f>
        <v>0</v>
      </c>
      <c r="AJ17" s="45">
        <f t="shared" ref="AJ17" si="153">SUM(AH17:AI17)</f>
        <v>0</v>
      </c>
      <c r="AK17" s="66"/>
      <c r="AL17" s="67">
        <f t="shared" ref="AL17" si="154">AK17*$F$16</f>
        <v>0</v>
      </c>
      <c r="AM17" s="67">
        <f t="shared" ref="AM17" si="155">AK17*$G$16</f>
        <v>0</v>
      </c>
      <c r="AN17" s="45">
        <f t="shared" ref="AN17" si="156">SUM(AL17:AM17)</f>
        <v>0</v>
      </c>
      <c r="AO17" s="66"/>
      <c r="AP17" s="67">
        <f t="shared" ref="AP17" si="157">AO17*$F$16</f>
        <v>0</v>
      </c>
      <c r="AQ17" s="67">
        <f t="shared" ref="AQ17" si="158">AO17*$G$16</f>
        <v>0</v>
      </c>
      <c r="AR17" s="45">
        <f t="shared" ref="AR17" si="159">SUM(AP17:AQ17)</f>
        <v>0</v>
      </c>
      <c r="AS17" s="66"/>
      <c r="AT17" s="67">
        <f t="shared" ref="AT17" si="160">AS17*$F$16</f>
        <v>0</v>
      </c>
      <c r="AU17" s="67">
        <f t="shared" ref="AU17" si="161">AS17*$G$16</f>
        <v>0</v>
      </c>
      <c r="AV17" s="45">
        <f t="shared" ref="AV17" si="162">SUM(AT17:AU17)</f>
        <v>0</v>
      </c>
      <c r="AW17" s="66"/>
      <c r="AX17" s="67">
        <f t="shared" ref="AX17" si="163">AW17*$F$16</f>
        <v>0</v>
      </c>
      <c r="AY17" s="67">
        <f t="shared" ref="AY17" si="164">AW17*$G$16</f>
        <v>0</v>
      </c>
      <c r="AZ17" s="45">
        <f t="shared" ref="AZ17" si="165">SUM(AX17:AY17)</f>
        <v>0</v>
      </c>
      <c r="BA17" s="66"/>
      <c r="BB17" s="67">
        <f t="shared" ref="BB17" si="166">BA17*$F$16</f>
        <v>0</v>
      </c>
      <c r="BC17" s="67">
        <f t="shared" ref="BC17" si="167">BA17*$G$16</f>
        <v>0</v>
      </c>
      <c r="BD17" s="45">
        <f t="shared" ref="BD17" si="168">SUM(BB17:BC17)</f>
        <v>0</v>
      </c>
      <c r="BE17" s="66"/>
      <c r="BF17" s="44">
        <f t="shared" ref="BF17" si="169">F17*BE17</f>
        <v>0</v>
      </c>
      <c r="BG17" s="44">
        <f t="shared" ref="BG17" si="170">G17*BE17</f>
        <v>0</v>
      </c>
      <c r="BH17" s="45">
        <f t="shared" ref="BH17" si="171">BG17+BF17</f>
        <v>0</v>
      </c>
      <c r="BI17" s="66"/>
      <c r="BJ17" s="44">
        <f t="shared" ref="BJ17" si="172">BI17*F17</f>
        <v>0</v>
      </c>
      <c r="BK17" s="44"/>
      <c r="BL17" s="45">
        <f t="shared" ref="BL17" si="173">BK17+BJ17</f>
        <v>0</v>
      </c>
      <c r="BM17" s="66"/>
      <c r="BN17" s="67">
        <f t="shared" ref="BN17" si="174">BM17*F17</f>
        <v>0</v>
      </c>
      <c r="BO17" s="67"/>
      <c r="BP17" s="45">
        <f t="shared" ref="BP17" si="175">BO17+BN17</f>
        <v>0</v>
      </c>
      <c r="BQ17" s="66"/>
      <c r="BR17" s="44">
        <f t="shared" ref="BR17" si="176">BQ17*F17</f>
        <v>0</v>
      </c>
      <c r="BS17" s="67"/>
      <c r="BT17" s="45">
        <f t="shared" ref="BT17" si="177">BS17+BR17</f>
        <v>0</v>
      </c>
      <c r="BU17" s="66"/>
      <c r="BV17" s="44">
        <f t="shared" ref="BV17" si="178">F17*BU17</f>
        <v>0</v>
      </c>
      <c r="BW17" s="67"/>
      <c r="BX17" s="45">
        <f t="shared" ref="BX17" si="179">BW17+BV17</f>
        <v>0</v>
      </c>
      <c r="BY17" s="66"/>
      <c r="BZ17" s="44">
        <f t="shared" ref="BZ17" si="180">BY17*J17</f>
        <v>0</v>
      </c>
      <c r="CA17" s="67"/>
      <c r="CB17" s="45">
        <f t="shared" ref="CB17" si="181">CA17+BZ17</f>
        <v>0</v>
      </c>
      <c r="CC17" s="66"/>
      <c r="CD17" s="44">
        <f t="shared" ref="CD17" si="182">CC17*N17</f>
        <v>0</v>
      </c>
      <c r="CE17" s="67"/>
      <c r="CF17" s="45">
        <f t="shared" ref="CF17" si="183">CE17+CD17</f>
        <v>0</v>
      </c>
      <c r="CG17" s="136"/>
      <c r="CH17" s="91">
        <f t="shared" ref="CH17" si="184">I17+M17+Q17+U17+Y17+AC17+AG17+AK17+AO17+BA17+BE17+BI17+BM17+BQ17+BU17+BY17+CC17</f>
        <v>0</v>
      </c>
      <c r="CI17" s="47">
        <f>CH17*F17</f>
        <v>0</v>
      </c>
      <c r="CJ17" s="47">
        <f t="shared" ref="CJ17" si="185">CH17*G17</f>
        <v>0</v>
      </c>
      <c r="CK17" s="48">
        <f t="shared" ref="CK17" si="186">SUM(CI17:CJ17)</f>
        <v>0</v>
      </c>
      <c r="CL17" s="49">
        <f t="shared" ref="CL17" si="187">D17-CH17</f>
        <v>4</v>
      </c>
      <c r="CM17" s="50">
        <f t="shared" ref="CM17" si="188">H17-CK17</f>
        <v>16800</v>
      </c>
      <c r="CO17" s="65"/>
      <c r="CP17" s="65"/>
    </row>
    <row r="18" spans="1:94" ht="26.25" customHeight="1" x14ac:dyDescent="0.25">
      <c r="A18" s="32"/>
      <c r="B18" s="74">
        <v>5</v>
      </c>
      <c r="C18" s="113" t="s">
        <v>49</v>
      </c>
      <c r="D18" s="112">
        <v>4</v>
      </c>
      <c r="E18" s="130">
        <f>D18-I18-M18-Q18-U18-Y18-AC18-AK18-AO18-AS18-AW18-BA18-BE18-BI18-1</f>
        <v>3</v>
      </c>
      <c r="F18" s="44">
        <f t="shared" si="97"/>
        <v>10500</v>
      </c>
      <c r="G18" s="116"/>
      <c r="H18" s="45">
        <f>H13*0.15</f>
        <v>42000</v>
      </c>
      <c r="I18" s="66"/>
      <c r="J18" s="67">
        <f>I18*$F$18</f>
        <v>0</v>
      </c>
      <c r="K18" s="67">
        <f>I18*$G$18</f>
        <v>0</v>
      </c>
      <c r="L18" s="45">
        <f t="shared" si="98"/>
        <v>0</v>
      </c>
      <c r="M18" s="66"/>
      <c r="N18" s="67">
        <f t="shared" ref="N18" si="189">M18*$F$18</f>
        <v>0</v>
      </c>
      <c r="O18" s="67">
        <f t="shared" ref="O18" si="190">M18*$G$18</f>
        <v>0</v>
      </c>
      <c r="P18" s="45">
        <f t="shared" si="3"/>
        <v>0</v>
      </c>
      <c r="Q18" s="66"/>
      <c r="R18" s="67">
        <f t="shared" ref="R18" si="191">Q18*$F$18</f>
        <v>0</v>
      </c>
      <c r="S18" s="67">
        <f t="shared" ref="S18" si="192">Q18*$G$18</f>
        <v>0</v>
      </c>
      <c r="T18" s="45">
        <f t="shared" si="6"/>
        <v>0</v>
      </c>
      <c r="U18" s="66"/>
      <c r="V18" s="67">
        <f t="shared" ref="V18" si="193">U18*$F$18</f>
        <v>0</v>
      </c>
      <c r="W18" s="67">
        <f t="shared" ref="W18" si="194">U18*$G$18</f>
        <v>0</v>
      </c>
      <c r="X18" s="45">
        <f t="shared" si="9"/>
        <v>0</v>
      </c>
      <c r="Y18" s="66"/>
      <c r="Z18" s="67">
        <f t="shared" ref="Z18" si="195">Y18*$F$18</f>
        <v>0</v>
      </c>
      <c r="AA18" s="67">
        <f t="shared" ref="AA18" si="196">Y18*$G$18</f>
        <v>0</v>
      </c>
      <c r="AB18" s="45">
        <f t="shared" si="12"/>
        <v>0</v>
      </c>
      <c r="AC18" s="66"/>
      <c r="AD18" s="67">
        <f t="shared" ref="AD18" si="197">AC18*$F$18</f>
        <v>0</v>
      </c>
      <c r="AE18" s="67">
        <f t="shared" ref="AE18" si="198">AC18*$G$18</f>
        <v>0</v>
      </c>
      <c r="AF18" s="45">
        <f t="shared" si="15"/>
        <v>0</v>
      </c>
      <c r="AG18" s="66"/>
      <c r="AH18" s="67">
        <f t="shared" ref="AH18" si="199">AG18*$F$18</f>
        <v>0</v>
      </c>
      <c r="AI18" s="67">
        <f t="shared" ref="AI18" si="200">AG18*$G$18</f>
        <v>0</v>
      </c>
      <c r="AJ18" s="45">
        <f t="shared" si="18"/>
        <v>0</v>
      </c>
      <c r="AK18" s="66"/>
      <c r="AL18" s="67">
        <f t="shared" ref="AL18" si="201">AK18*$F$18</f>
        <v>0</v>
      </c>
      <c r="AM18" s="67">
        <f t="shared" ref="AM18" si="202">AK18*$G$18</f>
        <v>0</v>
      </c>
      <c r="AN18" s="45">
        <f t="shared" si="21"/>
        <v>0</v>
      </c>
      <c r="AO18" s="66"/>
      <c r="AP18" s="67">
        <f t="shared" ref="AP18" si="203">AO18*$F$18</f>
        <v>0</v>
      </c>
      <c r="AQ18" s="67">
        <f t="shared" ref="AQ18" si="204">AO18*$G$18</f>
        <v>0</v>
      </c>
      <c r="AR18" s="45">
        <f t="shared" si="24"/>
        <v>0</v>
      </c>
      <c r="AS18" s="66"/>
      <c r="AT18" s="67">
        <f t="shared" ref="AT18" si="205">AS18*$F$18</f>
        <v>0</v>
      </c>
      <c r="AU18" s="67">
        <f t="shared" ref="AU18" si="206">AS18*$G$18</f>
        <v>0</v>
      </c>
      <c r="AV18" s="45">
        <f t="shared" si="27"/>
        <v>0</v>
      </c>
      <c r="AW18" s="66"/>
      <c r="AX18" s="67">
        <f t="shared" ref="AX18" si="207">AW18*$F$18</f>
        <v>0</v>
      </c>
      <c r="AY18" s="67">
        <f t="shared" ref="AY18" si="208">AW18*$G$18</f>
        <v>0</v>
      </c>
      <c r="AZ18" s="45">
        <f t="shared" si="30"/>
        <v>0</v>
      </c>
      <c r="BA18" s="66"/>
      <c r="BB18" s="67">
        <f t="shared" ref="BB18" si="209">BA18*$F$18</f>
        <v>0</v>
      </c>
      <c r="BC18" s="67"/>
      <c r="BD18" s="45">
        <f t="shared" si="33"/>
        <v>0</v>
      </c>
      <c r="BE18" s="66"/>
      <c r="BF18" s="44">
        <f t="shared" si="121"/>
        <v>0</v>
      </c>
      <c r="BG18" s="44">
        <f t="shared" si="122"/>
        <v>0</v>
      </c>
      <c r="BH18" s="45">
        <f t="shared" si="123"/>
        <v>0</v>
      </c>
      <c r="BI18" s="66"/>
      <c r="BJ18" s="44">
        <f t="shared" si="124"/>
        <v>0</v>
      </c>
      <c r="BK18" s="44"/>
      <c r="BL18" s="45">
        <f t="shared" si="125"/>
        <v>0</v>
      </c>
      <c r="BM18" s="66"/>
      <c r="BN18" s="67">
        <f t="shared" si="39"/>
        <v>0</v>
      </c>
      <c r="BO18" s="67"/>
      <c r="BP18" s="45">
        <f t="shared" si="126"/>
        <v>0</v>
      </c>
      <c r="BQ18" s="66"/>
      <c r="BR18" s="44">
        <f t="shared" si="40"/>
        <v>0</v>
      </c>
      <c r="BS18" s="67"/>
      <c r="BT18" s="45">
        <f t="shared" si="127"/>
        <v>0</v>
      </c>
      <c r="BU18" s="66"/>
      <c r="BV18" s="44">
        <f t="shared" si="41"/>
        <v>0</v>
      </c>
      <c r="BW18" s="67"/>
      <c r="BX18" s="45">
        <f t="shared" si="128"/>
        <v>0</v>
      </c>
      <c r="BY18" s="66"/>
      <c r="BZ18" s="44">
        <f t="shared" si="42"/>
        <v>0</v>
      </c>
      <c r="CA18" s="67"/>
      <c r="CB18" s="45">
        <f t="shared" si="129"/>
        <v>0</v>
      </c>
      <c r="CC18" s="66"/>
      <c r="CD18" s="44">
        <f t="shared" si="43"/>
        <v>0</v>
      </c>
      <c r="CE18" s="67"/>
      <c r="CF18" s="45">
        <f t="shared" si="130"/>
        <v>0</v>
      </c>
      <c r="CG18" s="136"/>
      <c r="CH18" s="91">
        <f t="shared" si="131"/>
        <v>0</v>
      </c>
      <c r="CI18" s="47">
        <f t="shared" ref="CI18:CI24" si="210">CH18*F18</f>
        <v>0</v>
      </c>
      <c r="CJ18" s="47">
        <f t="shared" si="45"/>
        <v>0</v>
      </c>
      <c r="CK18" s="48">
        <f t="shared" ref="CK18:CK34" si="211">SUM(CI18:CJ18)</f>
        <v>0</v>
      </c>
      <c r="CL18" s="49">
        <f t="shared" si="47"/>
        <v>4</v>
      </c>
      <c r="CM18" s="50">
        <f t="shared" si="132"/>
        <v>42000</v>
      </c>
      <c r="CO18" s="65"/>
      <c r="CP18" s="65"/>
    </row>
    <row r="19" spans="1:94" ht="26.25" customHeight="1" x14ac:dyDescent="0.25">
      <c r="A19" s="32"/>
      <c r="B19" s="74">
        <v>6</v>
      </c>
      <c r="C19" s="113" t="s">
        <v>50</v>
      </c>
      <c r="D19" s="112">
        <v>4</v>
      </c>
      <c r="E19" s="130">
        <f>D19-I19-M19-Q19-U19-Y19-AC19-AK19-AO19-AS19-AW19-BA19-BE19-BI19-1</f>
        <v>3</v>
      </c>
      <c r="F19" s="44">
        <f t="shared" si="97"/>
        <v>8400</v>
      </c>
      <c r="G19" s="116"/>
      <c r="H19" s="45">
        <f>H13*0.12</f>
        <v>33600</v>
      </c>
      <c r="I19" s="66"/>
      <c r="J19" s="67">
        <f>I19*$F$19</f>
        <v>0</v>
      </c>
      <c r="K19" s="67">
        <f>I19*$G$19</f>
        <v>0</v>
      </c>
      <c r="L19" s="45">
        <f t="shared" si="98"/>
        <v>0</v>
      </c>
      <c r="M19" s="66"/>
      <c r="N19" s="67">
        <f t="shared" ref="N19" si="212">M19*$F$19</f>
        <v>0</v>
      </c>
      <c r="O19" s="67">
        <f t="shared" ref="O19" si="213">M19*$G$19</f>
        <v>0</v>
      </c>
      <c r="P19" s="45">
        <f t="shared" si="3"/>
        <v>0</v>
      </c>
      <c r="Q19" s="66"/>
      <c r="R19" s="67">
        <f t="shared" ref="R19" si="214">Q19*$F$19</f>
        <v>0</v>
      </c>
      <c r="S19" s="67">
        <f t="shared" ref="S19" si="215">Q19*$G$19</f>
        <v>0</v>
      </c>
      <c r="T19" s="45">
        <f t="shared" si="6"/>
        <v>0</v>
      </c>
      <c r="U19" s="66"/>
      <c r="V19" s="67">
        <f t="shared" ref="V19" si="216">U19*$F$19</f>
        <v>0</v>
      </c>
      <c r="W19" s="67">
        <f t="shared" ref="W19" si="217">U19*$G$19</f>
        <v>0</v>
      </c>
      <c r="X19" s="45">
        <f t="shared" si="9"/>
        <v>0</v>
      </c>
      <c r="Y19" s="66"/>
      <c r="Z19" s="67">
        <f t="shared" ref="Z19" si="218">Y19*$F$19</f>
        <v>0</v>
      </c>
      <c r="AA19" s="67">
        <f t="shared" ref="AA19" si="219">Y19*$G$19</f>
        <v>0</v>
      </c>
      <c r="AB19" s="45">
        <f t="shared" si="12"/>
        <v>0</v>
      </c>
      <c r="AC19" s="66"/>
      <c r="AD19" s="67">
        <f t="shared" ref="AD19" si="220">AC19*$F$19</f>
        <v>0</v>
      </c>
      <c r="AE19" s="67">
        <f t="shared" ref="AE19" si="221">AC19*$G$19</f>
        <v>0</v>
      </c>
      <c r="AF19" s="45">
        <f t="shared" si="15"/>
        <v>0</v>
      </c>
      <c r="AG19" s="66"/>
      <c r="AH19" s="67">
        <f t="shared" ref="AH19" si="222">AG19*$F$19</f>
        <v>0</v>
      </c>
      <c r="AI19" s="67">
        <f t="shared" ref="AI19" si="223">AG19*$G$19</f>
        <v>0</v>
      </c>
      <c r="AJ19" s="45">
        <f t="shared" si="18"/>
        <v>0</v>
      </c>
      <c r="AK19" s="66"/>
      <c r="AL19" s="67">
        <f t="shared" ref="AL19" si="224">AK19*$F$19</f>
        <v>0</v>
      </c>
      <c r="AM19" s="67">
        <f t="shared" ref="AM19" si="225">AK19*$G$19</f>
        <v>0</v>
      </c>
      <c r="AN19" s="45">
        <f t="shared" si="21"/>
        <v>0</v>
      </c>
      <c r="AO19" s="66"/>
      <c r="AP19" s="67">
        <f t="shared" ref="AP19" si="226">AO19*$F$19</f>
        <v>0</v>
      </c>
      <c r="AQ19" s="67">
        <f t="shared" ref="AQ19" si="227">AO19*$G$19</f>
        <v>0</v>
      </c>
      <c r="AR19" s="45">
        <f t="shared" si="24"/>
        <v>0</v>
      </c>
      <c r="AS19" s="66"/>
      <c r="AT19" s="67">
        <f t="shared" ref="AT19" si="228">AS19*$F$19</f>
        <v>0</v>
      </c>
      <c r="AU19" s="67">
        <f t="shared" ref="AU19" si="229">AS19*$G$19</f>
        <v>0</v>
      </c>
      <c r="AV19" s="45">
        <f t="shared" si="27"/>
        <v>0</v>
      </c>
      <c r="AW19" s="66"/>
      <c r="AX19" s="67">
        <f t="shared" ref="AX19" si="230">AW19*$F$19</f>
        <v>0</v>
      </c>
      <c r="AY19" s="67">
        <f t="shared" ref="AY19" si="231">AW19*$G$19</f>
        <v>0</v>
      </c>
      <c r="AZ19" s="45">
        <f t="shared" si="30"/>
        <v>0</v>
      </c>
      <c r="BA19" s="66"/>
      <c r="BB19" s="67">
        <f t="shared" ref="BB19" si="232">BA19*$F$19</f>
        <v>0</v>
      </c>
      <c r="BC19" s="67"/>
      <c r="BD19" s="45">
        <f t="shared" si="33"/>
        <v>0</v>
      </c>
      <c r="BE19" s="66"/>
      <c r="BF19" s="44">
        <f t="shared" si="121"/>
        <v>0</v>
      </c>
      <c r="BG19" s="44">
        <f t="shared" si="122"/>
        <v>0</v>
      </c>
      <c r="BH19" s="45">
        <f t="shared" si="123"/>
        <v>0</v>
      </c>
      <c r="BI19" s="66"/>
      <c r="BJ19" s="44">
        <f t="shared" si="124"/>
        <v>0</v>
      </c>
      <c r="BK19" s="44"/>
      <c r="BL19" s="45">
        <f t="shared" si="125"/>
        <v>0</v>
      </c>
      <c r="BM19" s="66"/>
      <c r="BN19" s="67">
        <f t="shared" si="39"/>
        <v>0</v>
      </c>
      <c r="BO19" s="67"/>
      <c r="BP19" s="45">
        <f t="shared" si="126"/>
        <v>0</v>
      </c>
      <c r="BQ19" s="66"/>
      <c r="BR19" s="44">
        <f t="shared" si="40"/>
        <v>0</v>
      </c>
      <c r="BS19" s="67"/>
      <c r="BT19" s="45">
        <f t="shared" si="127"/>
        <v>0</v>
      </c>
      <c r="BU19" s="66"/>
      <c r="BV19" s="44">
        <f t="shared" si="41"/>
        <v>0</v>
      </c>
      <c r="BW19" s="67"/>
      <c r="BX19" s="45">
        <f t="shared" si="128"/>
        <v>0</v>
      </c>
      <c r="BY19" s="66"/>
      <c r="BZ19" s="44">
        <f t="shared" si="42"/>
        <v>0</v>
      </c>
      <c r="CA19" s="67"/>
      <c r="CB19" s="45">
        <f t="shared" si="129"/>
        <v>0</v>
      </c>
      <c r="CC19" s="66"/>
      <c r="CD19" s="44">
        <f t="shared" si="43"/>
        <v>0</v>
      </c>
      <c r="CE19" s="67"/>
      <c r="CF19" s="45">
        <f t="shared" si="130"/>
        <v>0</v>
      </c>
      <c r="CG19" s="136"/>
      <c r="CH19" s="91">
        <f t="shared" si="131"/>
        <v>0</v>
      </c>
      <c r="CI19" s="47">
        <f t="shared" si="210"/>
        <v>0</v>
      </c>
      <c r="CJ19" s="47">
        <f t="shared" si="45"/>
        <v>0</v>
      </c>
      <c r="CK19" s="48">
        <f t="shared" si="211"/>
        <v>0</v>
      </c>
      <c r="CL19" s="49">
        <f t="shared" si="47"/>
        <v>4</v>
      </c>
      <c r="CM19" s="50">
        <f t="shared" si="132"/>
        <v>33600</v>
      </c>
      <c r="CO19" s="65"/>
      <c r="CP19" s="65"/>
    </row>
    <row r="20" spans="1:94" ht="26.25" customHeight="1" x14ac:dyDescent="0.25">
      <c r="A20" s="32"/>
      <c r="B20" s="74">
        <v>7</v>
      </c>
      <c r="C20" s="113" t="s">
        <v>51</v>
      </c>
      <c r="D20" s="112">
        <v>4</v>
      </c>
      <c r="E20" s="130">
        <f t="shared" ref="E20" si="233">D20-I20-M20-Q20-U20-Y20-AC20-AK20-AO20-AS20-AW20-BA20-BE20-BI20</f>
        <v>4</v>
      </c>
      <c r="F20" s="44">
        <f t="shared" si="97"/>
        <v>2100</v>
      </c>
      <c r="G20" s="116"/>
      <c r="H20" s="45">
        <f>H13*0.03</f>
        <v>8400</v>
      </c>
      <c r="I20" s="66"/>
      <c r="J20" s="67">
        <f>I20*$F$20</f>
        <v>0</v>
      </c>
      <c r="K20" s="67">
        <f>I20*$G$20</f>
        <v>0</v>
      </c>
      <c r="L20" s="45">
        <f t="shared" si="98"/>
        <v>0</v>
      </c>
      <c r="M20" s="66"/>
      <c r="N20" s="67">
        <f t="shared" ref="N20" si="234">M20*$F$20</f>
        <v>0</v>
      </c>
      <c r="O20" s="67">
        <f t="shared" ref="O20" si="235">M20*$G$20</f>
        <v>0</v>
      </c>
      <c r="P20" s="45">
        <f t="shared" si="3"/>
        <v>0</v>
      </c>
      <c r="Q20" s="66"/>
      <c r="R20" s="67">
        <f t="shared" ref="R20" si="236">Q20*$F$20</f>
        <v>0</v>
      </c>
      <c r="S20" s="67">
        <f t="shared" ref="S20" si="237">Q20*$G$20</f>
        <v>0</v>
      </c>
      <c r="T20" s="45">
        <f t="shared" si="6"/>
        <v>0</v>
      </c>
      <c r="U20" s="66"/>
      <c r="V20" s="67">
        <f t="shared" ref="V20" si="238">U20*$F$20</f>
        <v>0</v>
      </c>
      <c r="W20" s="67">
        <f t="shared" ref="W20" si="239">U20*$G$20</f>
        <v>0</v>
      </c>
      <c r="X20" s="45">
        <f t="shared" si="9"/>
        <v>0</v>
      </c>
      <c r="Y20" s="66"/>
      <c r="Z20" s="67">
        <f t="shared" ref="Z20" si="240">Y20*$F$20</f>
        <v>0</v>
      </c>
      <c r="AA20" s="67">
        <f t="shared" ref="AA20" si="241">Y20*$G$20</f>
        <v>0</v>
      </c>
      <c r="AB20" s="45">
        <f t="shared" si="12"/>
        <v>0</v>
      </c>
      <c r="AC20" s="66"/>
      <c r="AD20" s="67">
        <f t="shared" ref="AD20" si="242">AC20*$F$20</f>
        <v>0</v>
      </c>
      <c r="AE20" s="67">
        <f t="shared" ref="AE20" si="243">AC20*$G$20</f>
        <v>0</v>
      </c>
      <c r="AF20" s="45">
        <f t="shared" si="15"/>
        <v>0</v>
      </c>
      <c r="AG20" s="66"/>
      <c r="AH20" s="67">
        <f t="shared" ref="AH20" si="244">AG20*$F$20</f>
        <v>0</v>
      </c>
      <c r="AI20" s="67">
        <f t="shared" ref="AI20" si="245">AG20*$G$20</f>
        <v>0</v>
      </c>
      <c r="AJ20" s="45">
        <f t="shared" si="18"/>
        <v>0</v>
      </c>
      <c r="AK20" s="66"/>
      <c r="AL20" s="67">
        <f t="shared" ref="AL20" si="246">AK20*$F$20</f>
        <v>0</v>
      </c>
      <c r="AM20" s="67">
        <f t="shared" ref="AM20" si="247">AK20*$G$20</f>
        <v>0</v>
      </c>
      <c r="AN20" s="45">
        <f t="shared" si="21"/>
        <v>0</v>
      </c>
      <c r="AO20" s="66"/>
      <c r="AP20" s="67">
        <f t="shared" ref="AP20" si="248">AO20*$F$20</f>
        <v>0</v>
      </c>
      <c r="AQ20" s="67">
        <f t="shared" ref="AQ20" si="249">AO20*$G$20</f>
        <v>0</v>
      </c>
      <c r="AR20" s="45">
        <f t="shared" si="24"/>
        <v>0</v>
      </c>
      <c r="AS20" s="66"/>
      <c r="AT20" s="67">
        <f t="shared" ref="AT20" si="250">AS20*$F$20</f>
        <v>0</v>
      </c>
      <c r="AU20" s="67">
        <f t="shared" ref="AU20" si="251">AS20*$G$20</f>
        <v>0</v>
      </c>
      <c r="AV20" s="45">
        <f t="shared" si="27"/>
        <v>0</v>
      </c>
      <c r="AW20" s="66"/>
      <c r="AX20" s="67">
        <f t="shared" ref="AX20" si="252">AW20*$F$20</f>
        <v>0</v>
      </c>
      <c r="AY20" s="67">
        <f t="shared" ref="AY20" si="253">AW20*$G$20</f>
        <v>0</v>
      </c>
      <c r="AZ20" s="45">
        <f t="shared" si="30"/>
        <v>0</v>
      </c>
      <c r="BA20" s="66"/>
      <c r="BB20" s="67">
        <f t="shared" ref="BB20" si="254">BA20*$F$20</f>
        <v>0</v>
      </c>
      <c r="BC20" s="67"/>
      <c r="BD20" s="45">
        <f t="shared" si="33"/>
        <v>0</v>
      </c>
      <c r="BE20" s="66"/>
      <c r="BF20" s="44">
        <f t="shared" si="121"/>
        <v>0</v>
      </c>
      <c r="BG20" s="44">
        <f t="shared" si="122"/>
        <v>0</v>
      </c>
      <c r="BH20" s="45">
        <f t="shared" si="123"/>
        <v>0</v>
      </c>
      <c r="BI20" s="66"/>
      <c r="BJ20" s="44">
        <f t="shared" si="124"/>
        <v>0</v>
      </c>
      <c r="BK20" s="44"/>
      <c r="BL20" s="45">
        <f t="shared" si="125"/>
        <v>0</v>
      </c>
      <c r="BM20" s="66"/>
      <c r="BN20" s="67">
        <f t="shared" si="39"/>
        <v>0</v>
      </c>
      <c r="BO20" s="67"/>
      <c r="BP20" s="45">
        <f t="shared" si="126"/>
        <v>0</v>
      </c>
      <c r="BQ20" s="66"/>
      <c r="BR20" s="44">
        <f t="shared" si="40"/>
        <v>0</v>
      </c>
      <c r="BS20" s="67"/>
      <c r="BT20" s="45">
        <f t="shared" si="127"/>
        <v>0</v>
      </c>
      <c r="BU20" s="66"/>
      <c r="BV20" s="44">
        <f t="shared" si="41"/>
        <v>0</v>
      </c>
      <c r="BW20" s="67"/>
      <c r="BX20" s="45">
        <f t="shared" si="128"/>
        <v>0</v>
      </c>
      <c r="BY20" s="66"/>
      <c r="BZ20" s="44">
        <f t="shared" si="42"/>
        <v>0</v>
      </c>
      <c r="CA20" s="67"/>
      <c r="CB20" s="45">
        <f t="shared" si="129"/>
        <v>0</v>
      </c>
      <c r="CC20" s="66"/>
      <c r="CD20" s="44">
        <f t="shared" si="43"/>
        <v>0</v>
      </c>
      <c r="CE20" s="67"/>
      <c r="CF20" s="45">
        <f t="shared" si="130"/>
        <v>0</v>
      </c>
      <c r="CG20" s="136"/>
      <c r="CH20" s="91">
        <f t="shared" si="131"/>
        <v>0</v>
      </c>
      <c r="CI20" s="47">
        <f t="shared" si="210"/>
        <v>0</v>
      </c>
      <c r="CJ20" s="47">
        <f t="shared" si="45"/>
        <v>0</v>
      </c>
      <c r="CK20" s="48">
        <f t="shared" si="211"/>
        <v>0</v>
      </c>
      <c r="CL20" s="49">
        <f t="shared" si="47"/>
        <v>4</v>
      </c>
      <c r="CM20" s="50">
        <f t="shared" si="132"/>
        <v>8400</v>
      </c>
      <c r="CO20" s="65"/>
      <c r="CP20" s="65"/>
    </row>
    <row r="21" spans="1:94" ht="26.25" customHeight="1" x14ac:dyDescent="0.25">
      <c r="A21" s="32"/>
      <c r="B21" s="74">
        <v>8</v>
      </c>
      <c r="C21" s="113" t="s">
        <v>52</v>
      </c>
      <c r="D21" s="112">
        <v>4</v>
      </c>
      <c r="E21" s="130">
        <f>D21-I21-M21-Q21-U21-Y21-AC21-AK21-AO21-AS21-AW21-BA21-BE21-BI21</f>
        <v>4</v>
      </c>
      <c r="F21" s="44">
        <f t="shared" si="97"/>
        <v>2100</v>
      </c>
      <c r="G21" s="116"/>
      <c r="H21" s="45">
        <f>H13*0.03</f>
        <v>8400</v>
      </c>
      <c r="I21" s="66"/>
      <c r="J21" s="67">
        <f>I21*$F$21</f>
        <v>0</v>
      </c>
      <c r="K21" s="67">
        <f>I21*$G$21</f>
        <v>0</v>
      </c>
      <c r="L21" s="45">
        <f>SUM(J21:K21)</f>
        <v>0</v>
      </c>
      <c r="M21" s="66"/>
      <c r="N21" s="67">
        <f t="shared" ref="N21" si="255">M21*$F$21</f>
        <v>0</v>
      </c>
      <c r="O21" s="67">
        <f t="shared" ref="O21" si="256">M21*$G$21</f>
        <v>0</v>
      </c>
      <c r="P21" s="45">
        <f t="shared" si="3"/>
        <v>0</v>
      </c>
      <c r="Q21" s="66"/>
      <c r="R21" s="67">
        <f t="shared" ref="R21" si="257">Q21*$F$21</f>
        <v>0</v>
      </c>
      <c r="S21" s="67">
        <f t="shared" ref="S21" si="258">Q21*$G$21</f>
        <v>0</v>
      </c>
      <c r="T21" s="45">
        <f t="shared" si="6"/>
        <v>0</v>
      </c>
      <c r="U21" s="66"/>
      <c r="V21" s="67">
        <f t="shared" ref="V21" si="259">U21*$F$21</f>
        <v>0</v>
      </c>
      <c r="W21" s="67">
        <f t="shared" ref="W21" si="260">U21*$G$21</f>
        <v>0</v>
      </c>
      <c r="X21" s="45">
        <f t="shared" si="9"/>
        <v>0</v>
      </c>
      <c r="Y21" s="66"/>
      <c r="Z21" s="67">
        <f t="shared" ref="Z21" si="261">Y21*$F$21</f>
        <v>0</v>
      </c>
      <c r="AA21" s="67">
        <f t="shared" ref="AA21" si="262">Y21*$G$21</f>
        <v>0</v>
      </c>
      <c r="AB21" s="45">
        <f t="shared" si="12"/>
        <v>0</v>
      </c>
      <c r="AC21" s="66"/>
      <c r="AD21" s="67">
        <f t="shared" ref="AD21" si="263">AC21*$F$21</f>
        <v>0</v>
      </c>
      <c r="AE21" s="67">
        <f t="shared" ref="AE21" si="264">AC21*$G$21</f>
        <v>0</v>
      </c>
      <c r="AF21" s="45">
        <f t="shared" si="15"/>
        <v>0</v>
      </c>
      <c r="AG21" s="66"/>
      <c r="AH21" s="67">
        <f t="shared" ref="AH21" si="265">AG21*$F$21</f>
        <v>0</v>
      </c>
      <c r="AI21" s="67">
        <f t="shared" ref="AI21" si="266">AG21*$G$21</f>
        <v>0</v>
      </c>
      <c r="AJ21" s="45">
        <f t="shared" si="18"/>
        <v>0</v>
      </c>
      <c r="AK21" s="66"/>
      <c r="AL21" s="67">
        <f t="shared" ref="AL21" si="267">AK21*$F$21</f>
        <v>0</v>
      </c>
      <c r="AM21" s="67">
        <f t="shared" ref="AM21" si="268">AK21*$G$21</f>
        <v>0</v>
      </c>
      <c r="AN21" s="45">
        <f t="shared" si="21"/>
        <v>0</v>
      </c>
      <c r="AO21" s="66"/>
      <c r="AP21" s="67">
        <f t="shared" ref="AP21" si="269">AO21*$F$21</f>
        <v>0</v>
      </c>
      <c r="AQ21" s="67">
        <f t="shared" ref="AQ21" si="270">AO21*$G$21</f>
        <v>0</v>
      </c>
      <c r="AR21" s="45">
        <f t="shared" si="24"/>
        <v>0</v>
      </c>
      <c r="AS21" s="66"/>
      <c r="AT21" s="67">
        <f t="shared" ref="AT21" si="271">AS21*$F$21</f>
        <v>0</v>
      </c>
      <c r="AU21" s="67">
        <f t="shared" ref="AU21" si="272">AS21*$G$21</f>
        <v>0</v>
      </c>
      <c r="AV21" s="45">
        <f t="shared" si="27"/>
        <v>0</v>
      </c>
      <c r="AW21" s="66"/>
      <c r="AX21" s="67">
        <f t="shared" ref="AX21" si="273">AW21*$F$21</f>
        <v>0</v>
      </c>
      <c r="AY21" s="67">
        <f t="shared" ref="AY21" si="274">AW21*$G$21</f>
        <v>0</v>
      </c>
      <c r="AZ21" s="45">
        <f t="shared" si="30"/>
        <v>0</v>
      </c>
      <c r="BA21" s="66"/>
      <c r="BB21" s="67">
        <f t="shared" ref="BB21" si="275">BA21*$F$21</f>
        <v>0</v>
      </c>
      <c r="BC21" s="67"/>
      <c r="BD21" s="45">
        <f t="shared" si="33"/>
        <v>0</v>
      </c>
      <c r="BE21" s="66"/>
      <c r="BF21" s="44">
        <f t="shared" si="121"/>
        <v>0</v>
      </c>
      <c r="BG21" s="44">
        <f t="shared" si="122"/>
        <v>0</v>
      </c>
      <c r="BH21" s="45">
        <f t="shared" si="123"/>
        <v>0</v>
      </c>
      <c r="BI21" s="66"/>
      <c r="BJ21" s="44">
        <f t="shared" si="124"/>
        <v>0</v>
      </c>
      <c r="BK21" s="44"/>
      <c r="BL21" s="45">
        <f t="shared" si="125"/>
        <v>0</v>
      </c>
      <c r="BM21" s="66"/>
      <c r="BN21" s="67">
        <f t="shared" si="39"/>
        <v>0</v>
      </c>
      <c r="BO21" s="67"/>
      <c r="BP21" s="45">
        <f t="shared" si="126"/>
        <v>0</v>
      </c>
      <c r="BQ21" s="66"/>
      <c r="BR21" s="44">
        <f t="shared" si="40"/>
        <v>0</v>
      </c>
      <c r="BS21" s="67"/>
      <c r="BT21" s="45">
        <f t="shared" si="127"/>
        <v>0</v>
      </c>
      <c r="BU21" s="66"/>
      <c r="BV21" s="44">
        <f t="shared" si="41"/>
        <v>0</v>
      </c>
      <c r="BW21" s="67"/>
      <c r="BX21" s="45">
        <f t="shared" si="128"/>
        <v>0</v>
      </c>
      <c r="BY21" s="66"/>
      <c r="BZ21" s="44">
        <f t="shared" si="42"/>
        <v>0</v>
      </c>
      <c r="CA21" s="67"/>
      <c r="CB21" s="45">
        <f t="shared" si="129"/>
        <v>0</v>
      </c>
      <c r="CC21" s="66"/>
      <c r="CD21" s="44">
        <f t="shared" si="43"/>
        <v>0</v>
      </c>
      <c r="CE21" s="67"/>
      <c r="CF21" s="45">
        <f t="shared" si="130"/>
        <v>0</v>
      </c>
      <c r="CG21" s="136"/>
      <c r="CH21" s="91">
        <f t="shared" si="131"/>
        <v>0</v>
      </c>
      <c r="CI21" s="47">
        <f t="shared" si="210"/>
        <v>0</v>
      </c>
      <c r="CJ21" s="47">
        <f t="shared" si="45"/>
        <v>0</v>
      </c>
      <c r="CK21" s="48">
        <f t="shared" si="211"/>
        <v>0</v>
      </c>
      <c r="CL21" s="49">
        <f t="shared" si="47"/>
        <v>4</v>
      </c>
      <c r="CM21" s="50">
        <f t="shared" si="132"/>
        <v>8400</v>
      </c>
      <c r="CO21" s="65"/>
      <c r="CP21" s="65"/>
    </row>
    <row r="22" spans="1:94" ht="26.25" customHeight="1" x14ac:dyDescent="0.25">
      <c r="A22" s="32"/>
      <c r="B22" s="74">
        <v>9</v>
      </c>
      <c r="C22" s="113" t="s">
        <v>53</v>
      </c>
      <c r="D22" s="112">
        <v>4</v>
      </c>
      <c r="E22" s="130">
        <f>D22-I22-M22-Q22-U22-Y22-AC22-AK22-AO22-AS22-AW22-BA22-BE22-BI22</f>
        <v>4</v>
      </c>
      <c r="F22" s="44">
        <f t="shared" si="97"/>
        <v>9100</v>
      </c>
      <c r="G22" s="116"/>
      <c r="H22" s="45">
        <f>H13*0.13</f>
        <v>36400</v>
      </c>
      <c r="I22" s="66"/>
      <c r="J22" s="67">
        <f>I22*$F$22</f>
        <v>0</v>
      </c>
      <c r="K22" s="67">
        <f>I22*$G$22</f>
        <v>0</v>
      </c>
      <c r="L22" s="45">
        <f t="shared" si="98"/>
        <v>0</v>
      </c>
      <c r="M22" s="66"/>
      <c r="N22" s="67">
        <f t="shared" ref="N22" si="276">M22*$F$22</f>
        <v>0</v>
      </c>
      <c r="O22" s="67">
        <f t="shared" ref="O22" si="277">M22*$G$22</f>
        <v>0</v>
      </c>
      <c r="P22" s="45">
        <f t="shared" si="3"/>
        <v>0</v>
      </c>
      <c r="Q22" s="66"/>
      <c r="R22" s="67">
        <f t="shared" ref="R22" si="278">Q22*$F$22</f>
        <v>0</v>
      </c>
      <c r="S22" s="67">
        <f t="shared" ref="S22" si="279">Q22*$G$22</f>
        <v>0</v>
      </c>
      <c r="T22" s="45">
        <f t="shared" si="6"/>
        <v>0</v>
      </c>
      <c r="U22" s="66"/>
      <c r="V22" s="67">
        <f t="shared" ref="V22" si="280">U22*$F$22</f>
        <v>0</v>
      </c>
      <c r="W22" s="67">
        <f t="shared" ref="W22" si="281">U22*$G$22</f>
        <v>0</v>
      </c>
      <c r="X22" s="45">
        <f t="shared" si="9"/>
        <v>0</v>
      </c>
      <c r="Y22" s="66"/>
      <c r="Z22" s="67">
        <f t="shared" ref="Z22" si="282">Y22*$F$22</f>
        <v>0</v>
      </c>
      <c r="AA22" s="67">
        <f t="shared" ref="AA22" si="283">Y22*$G$22</f>
        <v>0</v>
      </c>
      <c r="AB22" s="45">
        <f t="shared" si="12"/>
        <v>0</v>
      </c>
      <c r="AC22" s="66"/>
      <c r="AD22" s="67">
        <f t="shared" ref="AD22" si="284">AC22*$F$22</f>
        <v>0</v>
      </c>
      <c r="AE22" s="67">
        <f t="shared" ref="AE22" si="285">AC22*$G$22</f>
        <v>0</v>
      </c>
      <c r="AF22" s="45">
        <f t="shared" si="15"/>
        <v>0</v>
      </c>
      <c r="AG22" s="66"/>
      <c r="AH22" s="67">
        <f t="shared" ref="AH22" si="286">AG22*$F$22</f>
        <v>0</v>
      </c>
      <c r="AI22" s="67">
        <f t="shared" ref="AI22" si="287">AG22*$G$22</f>
        <v>0</v>
      </c>
      <c r="AJ22" s="45">
        <f t="shared" si="18"/>
        <v>0</v>
      </c>
      <c r="AK22" s="66"/>
      <c r="AL22" s="67">
        <f t="shared" ref="AL22" si="288">AK22*$F$22</f>
        <v>0</v>
      </c>
      <c r="AM22" s="67">
        <f t="shared" ref="AM22" si="289">AK22*$G$22</f>
        <v>0</v>
      </c>
      <c r="AN22" s="45">
        <f t="shared" si="21"/>
        <v>0</v>
      </c>
      <c r="AO22" s="66"/>
      <c r="AP22" s="67">
        <f t="shared" ref="AP22" si="290">AO22*$F$22</f>
        <v>0</v>
      </c>
      <c r="AQ22" s="67">
        <f t="shared" ref="AQ22" si="291">AO22*$G$22</f>
        <v>0</v>
      </c>
      <c r="AR22" s="45">
        <f t="shared" si="24"/>
        <v>0</v>
      </c>
      <c r="AS22" s="66"/>
      <c r="AT22" s="67">
        <f t="shared" ref="AT22" si="292">AS22*$F$22</f>
        <v>0</v>
      </c>
      <c r="AU22" s="67">
        <f t="shared" ref="AU22" si="293">AS22*$G$22</f>
        <v>0</v>
      </c>
      <c r="AV22" s="45">
        <f t="shared" si="27"/>
        <v>0</v>
      </c>
      <c r="AW22" s="66"/>
      <c r="AX22" s="67">
        <f t="shared" ref="AX22" si="294">AW22*$F$22</f>
        <v>0</v>
      </c>
      <c r="AY22" s="67">
        <f t="shared" ref="AY22" si="295">AW22*$G$22</f>
        <v>0</v>
      </c>
      <c r="AZ22" s="45">
        <f t="shared" si="30"/>
        <v>0</v>
      </c>
      <c r="BA22" s="66"/>
      <c r="BB22" s="67">
        <f t="shared" ref="BB22" si="296">BA22*$F$22</f>
        <v>0</v>
      </c>
      <c r="BC22" s="67">
        <f t="shared" ref="BC22" si="297">BA22*$G$22</f>
        <v>0</v>
      </c>
      <c r="BD22" s="45">
        <f t="shared" si="33"/>
        <v>0</v>
      </c>
      <c r="BE22" s="66"/>
      <c r="BF22" s="44">
        <f t="shared" si="121"/>
        <v>0</v>
      </c>
      <c r="BG22" s="44">
        <f t="shared" si="122"/>
        <v>0</v>
      </c>
      <c r="BH22" s="45">
        <f t="shared" si="123"/>
        <v>0</v>
      </c>
      <c r="BI22" s="66"/>
      <c r="BJ22" s="44">
        <f t="shared" si="124"/>
        <v>0</v>
      </c>
      <c r="BK22" s="44"/>
      <c r="BL22" s="45">
        <f t="shared" si="125"/>
        <v>0</v>
      </c>
      <c r="BM22" s="66"/>
      <c r="BN22" s="67">
        <f t="shared" si="39"/>
        <v>0</v>
      </c>
      <c r="BO22" s="67"/>
      <c r="BP22" s="45">
        <f t="shared" si="126"/>
        <v>0</v>
      </c>
      <c r="BQ22" s="66"/>
      <c r="BR22" s="44">
        <f t="shared" si="40"/>
        <v>0</v>
      </c>
      <c r="BS22" s="67"/>
      <c r="BT22" s="45">
        <f t="shared" si="127"/>
        <v>0</v>
      </c>
      <c r="BU22" s="66"/>
      <c r="BV22" s="44">
        <f t="shared" si="41"/>
        <v>0</v>
      </c>
      <c r="BW22" s="67"/>
      <c r="BX22" s="45">
        <f t="shared" si="128"/>
        <v>0</v>
      </c>
      <c r="BY22" s="66"/>
      <c r="BZ22" s="44">
        <f t="shared" si="42"/>
        <v>0</v>
      </c>
      <c r="CA22" s="67"/>
      <c r="CB22" s="45">
        <f t="shared" si="129"/>
        <v>0</v>
      </c>
      <c r="CC22" s="66"/>
      <c r="CD22" s="44">
        <f t="shared" si="43"/>
        <v>0</v>
      </c>
      <c r="CE22" s="67"/>
      <c r="CF22" s="45">
        <f t="shared" si="130"/>
        <v>0</v>
      </c>
      <c r="CG22" s="136"/>
      <c r="CH22" s="91">
        <f t="shared" si="131"/>
        <v>0</v>
      </c>
      <c r="CI22" s="47">
        <f t="shared" si="210"/>
        <v>0</v>
      </c>
      <c r="CJ22" s="47">
        <f t="shared" si="45"/>
        <v>0</v>
      </c>
      <c r="CK22" s="48">
        <f t="shared" si="211"/>
        <v>0</v>
      </c>
      <c r="CL22" s="49">
        <f t="shared" si="47"/>
        <v>4</v>
      </c>
      <c r="CM22" s="50">
        <f t="shared" si="132"/>
        <v>36400</v>
      </c>
      <c r="CO22" s="65"/>
      <c r="CP22" s="65"/>
    </row>
    <row r="23" spans="1:94" ht="26.25" customHeight="1" x14ac:dyDescent="0.25">
      <c r="A23" s="32"/>
      <c r="B23" s="74">
        <v>10</v>
      </c>
      <c r="C23" s="113" t="s">
        <v>54</v>
      </c>
      <c r="D23" s="112">
        <v>4</v>
      </c>
      <c r="E23" s="130">
        <f>D23-I23-M23-Q23-U23-Y23-AC23-AK23-AO23-AS23-AW23-BA23-BE23-BI23</f>
        <v>4</v>
      </c>
      <c r="F23" s="44">
        <f t="shared" si="97"/>
        <v>4200</v>
      </c>
      <c r="G23" s="116"/>
      <c r="H23" s="45">
        <f>H13*0.06</f>
        <v>16800</v>
      </c>
      <c r="I23" s="66"/>
      <c r="J23" s="67">
        <f>I23*$F$23</f>
        <v>0</v>
      </c>
      <c r="K23" s="67">
        <f>I23*$G$23</f>
        <v>0</v>
      </c>
      <c r="L23" s="45">
        <f t="shared" si="98"/>
        <v>0</v>
      </c>
      <c r="M23" s="66"/>
      <c r="N23" s="67">
        <f t="shared" ref="N23" si="298">M23*$F$23</f>
        <v>0</v>
      </c>
      <c r="O23" s="67">
        <f t="shared" ref="O23" si="299">M23*$G$23</f>
        <v>0</v>
      </c>
      <c r="P23" s="45">
        <f t="shared" si="3"/>
        <v>0</v>
      </c>
      <c r="Q23" s="66"/>
      <c r="R23" s="67">
        <f t="shared" ref="R23" si="300">Q23*$F$23</f>
        <v>0</v>
      </c>
      <c r="S23" s="67">
        <f t="shared" ref="S23" si="301">Q23*$G$23</f>
        <v>0</v>
      </c>
      <c r="T23" s="45">
        <f t="shared" si="6"/>
        <v>0</v>
      </c>
      <c r="U23" s="66"/>
      <c r="V23" s="67">
        <f t="shared" ref="V23" si="302">U23*$F$23</f>
        <v>0</v>
      </c>
      <c r="W23" s="67">
        <f t="shared" ref="W23" si="303">U23*$G$23</f>
        <v>0</v>
      </c>
      <c r="X23" s="45">
        <f t="shared" si="9"/>
        <v>0</v>
      </c>
      <c r="Y23" s="66"/>
      <c r="Z23" s="67">
        <f t="shared" ref="Z23" si="304">Y23*$F$23</f>
        <v>0</v>
      </c>
      <c r="AA23" s="67">
        <f t="shared" ref="AA23" si="305">Y23*$G$23</f>
        <v>0</v>
      </c>
      <c r="AB23" s="45">
        <f t="shared" si="12"/>
        <v>0</v>
      </c>
      <c r="AC23" s="66"/>
      <c r="AD23" s="67">
        <f t="shared" ref="AD23" si="306">AC23*$F$23</f>
        <v>0</v>
      </c>
      <c r="AE23" s="67">
        <f t="shared" ref="AE23" si="307">AC23*$G$23</f>
        <v>0</v>
      </c>
      <c r="AF23" s="45">
        <f t="shared" si="15"/>
        <v>0</v>
      </c>
      <c r="AG23" s="66"/>
      <c r="AH23" s="67">
        <f t="shared" ref="AH23" si="308">AG23*$F$23</f>
        <v>0</v>
      </c>
      <c r="AI23" s="67">
        <f t="shared" ref="AI23" si="309">AG23*$G$23</f>
        <v>0</v>
      </c>
      <c r="AJ23" s="45">
        <f t="shared" si="18"/>
        <v>0</v>
      </c>
      <c r="AK23" s="66"/>
      <c r="AL23" s="67">
        <f t="shared" ref="AL23" si="310">AK23*$F$23</f>
        <v>0</v>
      </c>
      <c r="AM23" s="67">
        <f t="shared" ref="AM23" si="311">AK23*$G$23</f>
        <v>0</v>
      </c>
      <c r="AN23" s="45">
        <f t="shared" si="21"/>
        <v>0</v>
      </c>
      <c r="AO23" s="66"/>
      <c r="AP23" s="67">
        <f t="shared" ref="AP23" si="312">AO23*$F$23</f>
        <v>0</v>
      </c>
      <c r="AQ23" s="67">
        <f t="shared" ref="AQ23" si="313">AO23*$G$23</f>
        <v>0</v>
      </c>
      <c r="AR23" s="45">
        <f t="shared" si="24"/>
        <v>0</v>
      </c>
      <c r="AS23" s="66"/>
      <c r="AT23" s="67">
        <f t="shared" ref="AT23" si="314">AS23*$F$23</f>
        <v>0</v>
      </c>
      <c r="AU23" s="67">
        <f t="shared" ref="AU23" si="315">AS23*$G$23</f>
        <v>0</v>
      </c>
      <c r="AV23" s="45">
        <f t="shared" si="27"/>
        <v>0</v>
      </c>
      <c r="AW23" s="66"/>
      <c r="AX23" s="67">
        <f t="shared" ref="AX23" si="316">AW23*$F$23</f>
        <v>0</v>
      </c>
      <c r="AY23" s="67">
        <f t="shared" ref="AY23" si="317">AW23*$G$23</f>
        <v>0</v>
      </c>
      <c r="AZ23" s="45">
        <f t="shared" si="30"/>
        <v>0</v>
      </c>
      <c r="BA23" s="66"/>
      <c r="BB23" s="67">
        <f t="shared" ref="BB23" si="318">BA23*$F$23</f>
        <v>0</v>
      </c>
      <c r="BC23" s="67">
        <f t="shared" ref="BC23" si="319">BA23*$G$23</f>
        <v>0</v>
      </c>
      <c r="BD23" s="45">
        <f t="shared" si="33"/>
        <v>0</v>
      </c>
      <c r="BE23" s="66"/>
      <c r="BF23" s="44">
        <f t="shared" si="121"/>
        <v>0</v>
      </c>
      <c r="BG23" s="44">
        <f t="shared" si="122"/>
        <v>0</v>
      </c>
      <c r="BH23" s="45">
        <f t="shared" si="123"/>
        <v>0</v>
      </c>
      <c r="BI23" s="66"/>
      <c r="BJ23" s="44">
        <f t="shared" si="124"/>
        <v>0</v>
      </c>
      <c r="BK23" s="44"/>
      <c r="BL23" s="45">
        <f t="shared" si="125"/>
        <v>0</v>
      </c>
      <c r="BM23" s="66"/>
      <c r="BN23" s="67">
        <f t="shared" si="39"/>
        <v>0</v>
      </c>
      <c r="BO23" s="67"/>
      <c r="BP23" s="45">
        <f t="shared" si="126"/>
        <v>0</v>
      </c>
      <c r="BQ23" s="66"/>
      <c r="BR23" s="44">
        <f t="shared" si="40"/>
        <v>0</v>
      </c>
      <c r="BS23" s="67"/>
      <c r="BT23" s="45">
        <f t="shared" si="127"/>
        <v>0</v>
      </c>
      <c r="BU23" s="66"/>
      <c r="BV23" s="44">
        <f t="shared" si="41"/>
        <v>0</v>
      </c>
      <c r="BW23" s="67"/>
      <c r="BX23" s="45">
        <f t="shared" si="128"/>
        <v>0</v>
      </c>
      <c r="BY23" s="66"/>
      <c r="BZ23" s="44">
        <f t="shared" si="42"/>
        <v>0</v>
      </c>
      <c r="CA23" s="67"/>
      <c r="CB23" s="45">
        <f t="shared" si="129"/>
        <v>0</v>
      </c>
      <c r="CC23" s="66"/>
      <c r="CD23" s="44">
        <f t="shared" si="43"/>
        <v>0</v>
      </c>
      <c r="CE23" s="67"/>
      <c r="CF23" s="45">
        <f t="shared" si="130"/>
        <v>0</v>
      </c>
      <c r="CG23" s="136"/>
      <c r="CH23" s="91">
        <f t="shared" si="131"/>
        <v>0</v>
      </c>
      <c r="CI23" s="47">
        <f t="shared" si="210"/>
        <v>0</v>
      </c>
      <c r="CJ23" s="47">
        <f t="shared" si="45"/>
        <v>0</v>
      </c>
      <c r="CK23" s="48">
        <f t="shared" si="211"/>
        <v>0</v>
      </c>
      <c r="CL23" s="49">
        <f t="shared" si="47"/>
        <v>4</v>
      </c>
      <c r="CM23" s="50">
        <f t="shared" si="132"/>
        <v>16800</v>
      </c>
      <c r="CO23" s="65"/>
      <c r="CP23" s="65"/>
    </row>
    <row r="24" spans="1:94" ht="26.25" customHeight="1" x14ac:dyDescent="0.25">
      <c r="A24" s="32"/>
      <c r="B24" s="74">
        <v>11</v>
      </c>
      <c r="C24" s="113" t="s">
        <v>55</v>
      </c>
      <c r="D24" s="112">
        <v>1</v>
      </c>
      <c r="E24" s="130">
        <f>D24-I24-M24-Q24-U24-Y24-AC24-AK24-AO24-AS24-AW24-BA24-BE24-BI24</f>
        <v>1</v>
      </c>
      <c r="F24" s="44">
        <f t="shared" si="97"/>
        <v>8400</v>
      </c>
      <c r="G24" s="116"/>
      <c r="H24" s="45">
        <f>H13*0.03</f>
        <v>8400</v>
      </c>
      <c r="I24" s="66"/>
      <c r="J24" s="67">
        <f>I24*$F$24</f>
        <v>0</v>
      </c>
      <c r="K24" s="67">
        <f>I24*$G$24</f>
        <v>0</v>
      </c>
      <c r="L24" s="45">
        <f t="shared" si="98"/>
        <v>0</v>
      </c>
      <c r="M24" s="66"/>
      <c r="N24" s="67">
        <f t="shared" ref="N24" si="320">M24*$F$24</f>
        <v>0</v>
      </c>
      <c r="O24" s="67">
        <f t="shared" ref="O24" si="321">M24*$G$24</f>
        <v>0</v>
      </c>
      <c r="P24" s="45">
        <f t="shared" si="3"/>
        <v>0</v>
      </c>
      <c r="Q24" s="66"/>
      <c r="R24" s="67">
        <f t="shared" ref="R24" si="322">Q24*$F$24</f>
        <v>0</v>
      </c>
      <c r="S24" s="67">
        <f t="shared" ref="S24" si="323">Q24*$G$24</f>
        <v>0</v>
      </c>
      <c r="T24" s="45">
        <f t="shared" si="6"/>
        <v>0</v>
      </c>
      <c r="U24" s="66"/>
      <c r="V24" s="67">
        <f t="shared" ref="V24" si="324">U24*$F$24</f>
        <v>0</v>
      </c>
      <c r="W24" s="67">
        <f t="shared" ref="W24" si="325">U24*$G$24</f>
        <v>0</v>
      </c>
      <c r="X24" s="45">
        <f t="shared" si="9"/>
        <v>0</v>
      </c>
      <c r="Y24" s="66"/>
      <c r="Z24" s="67">
        <f t="shared" ref="Z24" si="326">Y24*$F$24</f>
        <v>0</v>
      </c>
      <c r="AA24" s="67">
        <f t="shared" ref="AA24" si="327">Y24*$G$24</f>
        <v>0</v>
      </c>
      <c r="AB24" s="45">
        <f t="shared" si="12"/>
        <v>0</v>
      </c>
      <c r="AC24" s="66"/>
      <c r="AD24" s="67">
        <f t="shared" ref="AD24" si="328">AC24*$F$24</f>
        <v>0</v>
      </c>
      <c r="AE24" s="67">
        <f t="shared" ref="AE24" si="329">AC24*$G$24</f>
        <v>0</v>
      </c>
      <c r="AF24" s="45">
        <f t="shared" si="15"/>
        <v>0</v>
      </c>
      <c r="AG24" s="66"/>
      <c r="AH24" s="67">
        <f t="shared" ref="AH24" si="330">AG24*$F$24</f>
        <v>0</v>
      </c>
      <c r="AI24" s="67">
        <f t="shared" ref="AI24" si="331">AG24*$G$24</f>
        <v>0</v>
      </c>
      <c r="AJ24" s="45">
        <f t="shared" si="18"/>
        <v>0</v>
      </c>
      <c r="AK24" s="66"/>
      <c r="AL24" s="67">
        <f t="shared" ref="AL24" si="332">AK24*$F$24</f>
        <v>0</v>
      </c>
      <c r="AM24" s="67">
        <f t="shared" ref="AM24" si="333">AK24*$G$24</f>
        <v>0</v>
      </c>
      <c r="AN24" s="45">
        <f t="shared" si="21"/>
        <v>0</v>
      </c>
      <c r="AO24" s="66"/>
      <c r="AP24" s="67">
        <f t="shared" ref="AP24" si="334">AO24*$F$24</f>
        <v>0</v>
      </c>
      <c r="AQ24" s="67">
        <f t="shared" ref="AQ24" si="335">AO24*$G$24</f>
        <v>0</v>
      </c>
      <c r="AR24" s="45">
        <f t="shared" si="24"/>
        <v>0</v>
      </c>
      <c r="AS24" s="66"/>
      <c r="AT24" s="67">
        <f t="shared" ref="AT24" si="336">AS24*$F$24</f>
        <v>0</v>
      </c>
      <c r="AU24" s="67">
        <f t="shared" ref="AU24" si="337">AS24*$G$24</f>
        <v>0</v>
      </c>
      <c r="AV24" s="45">
        <f t="shared" si="27"/>
        <v>0</v>
      </c>
      <c r="AW24" s="66"/>
      <c r="AX24" s="67">
        <f t="shared" ref="AX24" si="338">AW24*$F$24</f>
        <v>0</v>
      </c>
      <c r="AY24" s="67">
        <f t="shared" ref="AY24" si="339">AW24*$G$24</f>
        <v>0</v>
      </c>
      <c r="AZ24" s="45">
        <f t="shared" si="30"/>
        <v>0</v>
      </c>
      <c r="BA24" s="66"/>
      <c r="BB24" s="67">
        <f t="shared" ref="BB24" si="340">BA24*$F$24</f>
        <v>0</v>
      </c>
      <c r="BC24" s="67">
        <f t="shared" ref="BC24" si="341">BA24*$G$24</f>
        <v>0</v>
      </c>
      <c r="BD24" s="45">
        <f t="shared" si="33"/>
        <v>0</v>
      </c>
      <c r="BE24" s="66"/>
      <c r="BF24" s="44">
        <f t="shared" si="121"/>
        <v>0</v>
      </c>
      <c r="BG24" s="44">
        <f t="shared" si="122"/>
        <v>0</v>
      </c>
      <c r="BH24" s="45">
        <f t="shared" si="123"/>
        <v>0</v>
      </c>
      <c r="BI24" s="66"/>
      <c r="BJ24" s="44">
        <f t="shared" si="124"/>
        <v>0</v>
      </c>
      <c r="BK24" s="44"/>
      <c r="BL24" s="45">
        <f t="shared" si="125"/>
        <v>0</v>
      </c>
      <c r="BM24" s="66"/>
      <c r="BN24" s="67">
        <f t="shared" si="39"/>
        <v>0</v>
      </c>
      <c r="BO24" s="67"/>
      <c r="BP24" s="45">
        <f t="shared" si="126"/>
        <v>0</v>
      </c>
      <c r="BQ24" s="66"/>
      <c r="BR24" s="44">
        <f t="shared" si="40"/>
        <v>0</v>
      </c>
      <c r="BS24" s="67"/>
      <c r="BT24" s="45">
        <f t="shared" si="127"/>
        <v>0</v>
      </c>
      <c r="BU24" s="66"/>
      <c r="BV24" s="44">
        <f t="shared" si="41"/>
        <v>0</v>
      </c>
      <c r="BW24" s="67"/>
      <c r="BX24" s="45">
        <f t="shared" si="128"/>
        <v>0</v>
      </c>
      <c r="BY24" s="66"/>
      <c r="BZ24" s="44">
        <f t="shared" si="42"/>
        <v>0</v>
      </c>
      <c r="CA24" s="67"/>
      <c r="CB24" s="45">
        <f t="shared" si="129"/>
        <v>0</v>
      </c>
      <c r="CC24" s="66"/>
      <c r="CD24" s="44">
        <f t="shared" si="43"/>
        <v>0</v>
      </c>
      <c r="CE24" s="67"/>
      <c r="CF24" s="45">
        <f t="shared" si="130"/>
        <v>0</v>
      </c>
      <c r="CG24" s="136"/>
      <c r="CH24" s="91">
        <f t="shared" si="131"/>
        <v>0</v>
      </c>
      <c r="CI24" s="47">
        <f t="shared" si="210"/>
        <v>0</v>
      </c>
      <c r="CJ24" s="47">
        <f t="shared" ref="CJ24" si="342">CH24*G24</f>
        <v>0</v>
      </c>
      <c r="CK24" s="48">
        <f t="shared" ref="CK24" si="343">SUM(CI24:CJ24)</f>
        <v>0</v>
      </c>
      <c r="CL24" s="49">
        <f>D24-CH24</f>
        <v>1</v>
      </c>
      <c r="CM24" s="50">
        <f t="shared" ref="CM24:CM25" si="344">H24-CK24</f>
        <v>8400</v>
      </c>
      <c r="CO24" s="65"/>
      <c r="CP24" s="65"/>
    </row>
    <row r="25" spans="1:94" ht="26.25" customHeight="1" x14ac:dyDescent="0.25">
      <c r="A25" s="32"/>
      <c r="B25" s="74">
        <v>12</v>
      </c>
      <c r="C25" s="117" t="s">
        <v>90</v>
      </c>
      <c r="D25" s="112">
        <v>1</v>
      </c>
      <c r="E25" s="130">
        <f>D25-I25-M25-Q25-U25-Y25-AC25-AK25-AO25-AS25-AW25-BA25-BE25-BI25</f>
        <v>1</v>
      </c>
      <c r="F25" s="44">
        <f t="shared" si="97"/>
        <v>58800</v>
      </c>
      <c r="G25" s="67"/>
      <c r="H25" s="67">
        <f>H13*0.21</f>
        <v>58800</v>
      </c>
      <c r="I25" s="66"/>
      <c r="J25" s="67">
        <f>I25*$F$24</f>
        <v>0</v>
      </c>
      <c r="K25" s="67">
        <f>I25*$G$24</f>
        <v>0</v>
      </c>
      <c r="L25" s="45">
        <f t="shared" ref="L25" si="345">SUM(J25:K25)</f>
        <v>0</v>
      </c>
      <c r="M25" s="66"/>
      <c r="N25" s="67">
        <f t="shared" ref="N25" si="346">M25*$F$24</f>
        <v>0</v>
      </c>
      <c r="O25" s="67">
        <f t="shared" ref="O25" si="347">M25*$G$24</f>
        <v>0</v>
      </c>
      <c r="P25" s="45">
        <f t="shared" ref="P25" si="348">SUM(N25:O25)</f>
        <v>0</v>
      </c>
      <c r="Q25" s="66"/>
      <c r="R25" s="67">
        <f t="shared" ref="R25" si="349">Q25*$F$24</f>
        <v>0</v>
      </c>
      <c r="S25" s="67">
        <f t="shared" ref="S25" si="350">Q25*$G$24</f>
        <v>0</v>
      </c>
      <c r="T25" s="45">
        <f t="shared" ref="T25" si="351">SUM(R25:S25)</f>
        <v>0</v>
      </c>
      <c r="U25" s="66"/>
      <c r="V25" s="67">
        <f t="shared" ref="V25" si="352">U25*$F$24</f>
        <v>0</v>
      </c>
      <c r="W25" s="67">
        <f t="shared" ref="W25" si="353">U25*$G$24</f>
        <v>0</v>
      </c>
      <c r="X25" s="45">
        <f t="shared" ref="X25" si="354">SUM(V25:W25)</f>
        <v>0</v>
      </c>
      <c r="Y25" s="66"/>
      <c r="Z25" s="67">
        <f t="shared" ref="Z25" si="355">Y25*$F$24</f>
        <v>0</v>
      </c>
      <c r="AA25" s="67">
        <f t="shared" ref="AA25" si="356">Y25*$G$24</f>
        <v>0</v>
      </c>
      <c r="AB25" s="45">
        <f t="shared" ref="AB25" si="357">SUM(Z25:AA25)</f>
        <v>0</v>
      </c>
      <c r="AC25" s="66"/>
      <c r="AD25" s="67">
        <f t="shared" ref="AD25" si="358">AC25*$F$24</f>
        <v>0</v>
      </c>
      <c r="AE25" s="67">
        <f t="shared" ref="AE25" si="359">AC25*$G$24</f>
        <v>0</v>
      </c>
      <c r="AF25" s="45">
        <f t="shared" ref="AF25" si="360">SUM(AD25:AE25)</f>
        <v>0</v>
      </c>
      <c r="AG25" s="66"/>
      <c r="AH25" s="67">
        <f t="shared" ref="AH25" si="361">AG25*$F$24</f>
        <v>0</v>
      </c>
      <c r="AI25" s="67">
        <f t="shared" ref="AI25" si="362">AG25*$G$24</f>
        <v>0</v>
      </c>
      <c r="AJ25" s="45">
        <f t="shared" ref="AJ25" si="363">SUM(AH25:AI25)</f>
        <v>0</v>
      </c>
      <c r="AK25" s="66"/>
      <c r="AL25" s="67">
        <f t="shared" ref="AL25" si="364">AK25*$F$24</f>
        <v>0</v>
      </c>
      <c r="AM25" s="67">
        <f t="shared" ref="AM25" si="365">AK25*$G$24</f>
        <v>0</v>
      </c>
      <c r="AN25" s="45">
        <f t="shared" ref="AN25" si="366">SUM(AL25:AM25)</f>
        <v>0</v>
      </c>
      <c r="AO25" s="66"/>
      <c r="AP25" s="67">
        <f t="shared" ref="AP25" si="367">AO25*$F$24</f>
        <v>0</v>
      </c>
      <c r="AQ25" s="67">
        <f t="shared" ref="AQ25" si="368">AO25*$G$24</f>
        <v>0</v>
      </c>
      <c r="AR25" s="45">
        <f t="shared" ref="AR25" si="369">SUM(AP25:AQ25)</f>
        <v>0</v>
      </c>
      <c r="AS25" s="66"/>
      <c r="AT25" s="67">
        <f t="shared" ref="AT25" si="370">AS25*$F$24</f>
        <v>0</v>
      </c>
      <c r="AU25" s="67">
        <f t="shared" ref="AU25" si="371">AS25*$G$24</f>
        <v>0</v>
      </c>
      <c r="AV25" s="45">
        <f t="shared" ref="AV25" si="372">SUM(AT25:AU25)</f>
        <v>0</v>
      </c>
      <c r="AW25" s="66"/>
      <c r="AX25" s="67">
        <f t="shared" ref="AX25" si="373">AW25*$F$24</f>
        <v>0</v>
      </c>
      <c r="AY25" s="67">
        <f t="shared" ref="AY25" si="374">AW25*$G$24</f>
        <v>0</v>
      </c>
      <c r="AZ25" s="45">
        <f t="shared" ref="AZ25" si="375">SUM(AX25:AY25)</f>
        <v>0</v>
      </c>
      <c r="BA25" s="66"/>
      <c r="BB25" s="67">
        <f t="shared" ref="BB25" si="376">BA25*$F$24</f>
        <v>0</v>
      </c>
      <c r="BC25" s="67">
        <f t="shared" ref="BC25" si="377">BA25*$G$24</f>
        <v>0</v>
      </c>
      <c r="BD25" s="45">
        <f t="shared" ref="BD25" si="378">SUM(BB25:BC25)</f>
        <v>0</v>
      </c>
      <c r="BE25" s="66"/>
      <c r="BF25" s="44">
        <f t="shared" ref="BF25" si="379">F25*BE25</f>
        <v>0</v>
      </c>
      <c r="BG25" s="44">
        <f t="shared" ref="BG25" si="380">G25*BE25</f>
        <v>0</v>
      </c>
      <c r="BH25" s="45">
        <f t="shared" ref="BH25" si="381">BG25+BF25</f>
        <v>0</v>
      </c>
      <c r="BI25" s="66"/>
      <c r="BJ25" s="44">
        <f t="shared" ref="BJ25" si="382">BI25*F25</f>
        <v>0</v>
      </c>
      <c r="BK25" s="44"/>
      <c r="BL25" s="45">
        <f t="shared" ref="BL25" si="383">BK25+BJ25</f>
        <v>0</v>
      </c>
      <c r="BM25" s="66"/>
      <c r="BN25" s="67">
        <f t="shared" ref="BN25" si="384">BM25*F25</f>
        <v>0</v>
      </c>
      <c r="BO25" s="67"/>
      <c r="BP25" s="45">
        <f t="shared" ref="BP25" si="385">BO25+BN25</f>
        <v>0</v>
      </c>
      <c r="BQ25" s="66"/>
      <c r="BR25" s="44">
        <f t="shared" ref="BR25" si="386">BQ25*F25</f>
        <v>0</v>
      </c>
      <c r="BS25" s="67"/>
      <c r="BT25" s="45">
        <f t="shared" ref="BT25" si="387">BS25+BR25</f>
        <v>0</v>
      </c>
      <c r="BU25" s="66"/>
      <c r="BV25" s="44">
        <f t="shared" ref="BV25" si="388">F25*BU25</f>
        <v>0</v>
      </c>
      <c r="BW25" s="67"/>
      <c r="BX25" s="45">
        <f t="shared" ref="BX25" si="389">BW25+BV25</f>
        <v>0</v>
      </c>
      <c r="BY25" s="66"/>
      <c r="BZ25" s="44">
        <f t="shared" ref="BZ25" si="390">BY25*J25</f>
        <v>0</v>
      </c>
      <c r="CA25" s="67"/>
      <c r="CB25" s="45">
        <f t="shared" ref="CB25" si="391">CA25+BZ25</f>
        <v>0</v>
      </c>
      <c r="CC25" s="66"/>
      <c r="CD25" s="44">
        <f t="shared" ref="CD25" si="392">CC25*N25</f>
        <v>0</v>
      </c>
      <c r="CE25" s="67"/>
      <c r="CF25" s="45">
        <f t="shared" ref="CF25" si="393">CE25+CD25</f>
        <v>0</v>
      </c>
      <c r="CG25" s="136"/>
      <c r="CH25" s="91">
        <f t="shared" ref="CH25" si="394">I25+M25+Q25+U25+Y25+AC25+AG25+AK25+AO25+BA25+BE25+BI25+BM25+BQ25+BU25+BY25+CC25</f>
        <v>0</v>
      </c>
      <c r="CI25" s="47">
        <f t="shared" ref="CI25" si="395">CH25*F25</f>
        <v>0</v>
      </c>
      <c r="CJ25" s="47">
        <f t="shared" ref="CJ25" si="396">CH25*G25</f>
        <v>0</v>
      </c>
      <c r="CK25" s="48">
        <f t="shared" ref="CK25" si="397">SUM(CI25:CJ25)</f>
        <v>0</v>
      </c>
      <c r="CL25" s="49">
        <f t="shared" ref="CL25" si="398">D25-CH25</f>
        <v>1</v>
      </c>
      <c r="CM25" s="50">
        <f t="shared" si="344"/>
        <v>58800</v>
      </c>
      <c r="CO25" s="65"/>
      <c r="CP25" s="65"/>
    </row>
    <row r="26" spans="1:94" ht="26.25" customHeight="1" x14ac:dyDescent="0.25">
      <c r="A26" s="32"/>
      <c r="B26" s="74">
        <v>13</v>
      </c>
      <c r="C26" s="113"/>
      <c r="D26" s="112"/>
      <c r="E26" s="164"/>
      <c r="F26" s="44"/>
      <c r="G26" s="116"/>
      <c r="H26" s="45"/>
      <c r="I26" s="66"/>
      <c r="J26" s="67"/>
      <c r="K26" s="67"/>
      <c r="L26" s="45"/>
      <c r="M26" s="66"/>
      <c r="N26" s="67"/>
      <c r="O26" s="67"/>
      <c r="P26" s="45"/>
      <c r="Q26" s="66"/>
      <c r="R26" s="67"/>
      <c r="S26" s="67"/>
      <c r="T26" s="45"/>
      <c r="U26" s="66"/>
      <c r="V26" s="67"/>
      <c r="W26" s="67"/>
      <c r="X26" s="45"/>
      <c r="Y26" s="66"/>
      <c r="Z26" s="67"/>
      <c r="AA26" s="67"/>
      <c r="AB26" s="45"/>
      <c r="AC26" s="66"/>
      <c r="AD26" s="67"/>
      <c r="AE26" s="67"/>
      <c r="AF26" s="45"/>
      <c r="AG26" s="66"/>
      <c r="AH26" s="67"/>
      <c r="AI26" s="67"/>
      <c r="AJ26" s="45"/>
      <c r="AK26" s="66"/>
      <c r="AL26" s="67"/>
      <c r="AM26" s="67"/>
      <c r="AN26" s="45"/>
      <c r="AO26" s="66"/>
      <c r="AP26" s="67"/>
      <c r="AQ26" s="67"/>
      <c r="AR26" s="45"/>
      <c r="AS26" s="66"/>
      <c r="AT26" s="67"/>
      <c r="AU26" s="67"/>
      <c r="AV26" s="45"/>
      <c r="AW26" s="66"/>
      <c r="AX26" s="67"/>
      <c r="AY26" s="67"/>
      <c r="AZ26" s="45"/>
      <c r="BA26" s="66"/>
      <c r="BB26" s="67"/>
      <c r="BC26" s="67"/>
      <c r="BD26" s="45"/>
      <c r="BE26" s="66"/>
      <c r="BF26" s="44"/>
      <c r="BG26" s="44"/>
      <c r="BH26" s="45"/>
      <c r="BI26" s="66"/>
      <c r="BJ26" s="44"/>
      <c r="BK26" s="44"/>
      <c r="BL26" s="45"/>
      <c r="BM26" s="66"/>
      <c r="BN26" s="67"/>
      <c r="BO26" s="67"/>
      <c r="BP26" s="45"/>
      <c r="BQ26" s="66"/>
      <c r="BR26" s="44"/>
      <c r="BS26" s="67"/>
      <c r="BT26" s="45"/>
      <c r="BU26" s="66"/>
      <c r="BV26" s="44"/>
      <c r="BW26" s="67"/>
      <c r="BX26" s="45"/>
      <c r="BY26" s="66"/>
      <c r="BZ26" s="44"/>
      <c r="CA26" s="67"/>
      <c r="CB26" s="45"/>
      <c r="CC26" s="66"/>
      <c r="CD26" s="44"/>
      <c r="CE26" s="67"/>
      <c r="CF26" s="45"/>
      <c r="CG26" s="136"/>
      <c r="CH26" s="91"/>
      <c r="CI26" s="47"/>
      <c r="CJ26" s="47"/>
      <c r="CK26" s="48"/>
      <c r="CL26" s="49"/>
      <c r="CM26" s="50"/>
      <c r="CO26" s="65"/>
      <c r="CP26" s="65"/>
    </row>
    <row r="27" spans="1:94" s="158" customFormat="1" ht="26.25" customHeight="1" x14ac:dyDescent="0.25">
      <c r="A27" s="148"/>
      <c r="B27" s="74">
        <v>14</v>
      </c>
      <c r="C27" s="146"/>
      <c r="D27" s="149"/>
      <c r="E27" s="149"/>
      <c r="F27" s="150"/>
      <c r="G27" s="151"/>
      <c r="H27" s="147">
        <f>SUM(H14:H25)</f>
        <v>280000</v>
      </c>
      <c r="I27" s="152"/>
      <c r="J27" s="153"/>
      <c r="K27" s="153"/>
      <c r="L27" s="147"/>
      <c r="M27" s="152"/>
      <c r="N27" s="153"/>
      <c r="O27" s="153"/>
      <c r="P27" s="147"/>
      <c r="Q27" s="152"/>
      <c r="R27" s="153"/>
      <c r="S27" s="153"/>
      <c r="T27" s="147"/>
      <c r="U27" s="152"/>
      <c r="V27" s="153"/>
      <c r="W27" s="153"/>
      <c r="X27" s="147"/>
      <c r="Y27" s="152"/>
      <c r="Z27" s="153"/>
      <c r="AA27" s="153"/>
      <c r="AB27" s="147"/>
      <c r="AC27" s="152"/>
      <c r="AD27" s="153"/>
      <c r="AE27" s="153"/>
      <c r="AF27" s="147"/>
      <c r="AG27" s="152"/>
      <c r="AH27" s="153"/>
      <c r="AI27" s="153"/>
      <c r="AJ27" s="147"/>
      <c r="AK27" s="152"/>
      <c r="AL27" s="153"/>
      <c r="AM27" s="153"/>
      <c r="AN27" s="147"/>
      <c r="AO27" s="152"/>
      <c r="AP27" s="153"/>
      <c r="AQ27" s="153"/>
      <c r="AR27" s="147"/>
      <c r="AS27" s="152"/>
      <c r="AT27" s="153"/>
      <c r="AU27" s="153"/>
      <c r="AV27" s="147"/>
      <c r="AW27" s="152"/>
      <c r="AX27" s="153"/>
      <c r="AY27" s="153"/>
      <c r="AZ27" s="147"/>
      <c r="BA27" s="152"/>
      <c r="BB27" s="153"/>
      <c r="BC27" s="153"/>
      <c r="BD27" s="147"/>
      <c r="BE27" s="152"/>
      <c r="BF27" s="153"/>
      <c r="BG27" s="153"/>
      <c r="BH27" s="147"/>
      <c r="BI27" s="152"/>
      <c r="BJ27" s="153"/>
      <c r="BK27" s="153"/>
      <c r="BL27" s="147"/>
      <c r="BM27" s="152"/>
      <c r="BN27" s="153"/>
      <c r="BO27" s="153"/>
      <c r="BP27" s="147"/>
      <c r="BQ27" s="152"/>
      <c r="BR27" s="153"/>
      <c r="BS27" s="153"/>
      <c r="BT27" s="147"/>
      <c r="BU27" s="152"/>
      <c r="BV27" s="153"/>
      <c r="BW27" s="153"/>
      <c r="BX27" s="147"/>
      <c r="BY27" s="152"/>
      <c r="BZ27" s="153"/>
      <c r="CA27" s="153"/>
      <c r="CB27" s="147"/>
      <c r="CC27" s="152"/>
      <c r="CD27" s="153"/>
      <c r="CE27" s="153"/>
      <c r="CF27" s="147"/>
      <c r="CG27" s="154"/>
      <c r="CH27" s="155"/>
      <c r="CI27" s="150"/>
      <c r="CJ27" s="150"/>
      <c r="CK27" s="156"/>
      <c r="CL27" s="153"/>
      <c r="CM27" s="157">
        <f>SUM(CM13:CM26)</f>
        <v>280000</v>
      </c>
      <c r="CO27" s="159"/>
      <c r="CP27" s="159"/>
    </row>
    <row r="28" spans="1:94" ht="26.25" customHeight="1" x14ac:dyDescent="0.25">
      <c r="A28" s="32"/>
      <c r="B28" s="74">
        <v>15</v>
      </c>
      <c r="C28" s="113"/>
      <c r="D28" s="112"/>
      <c r="E28" s="112"/>
      <c r="F28" s="166"/>
      <c r="G28" s="167"/>
      <c r="H28" s="45"/>
      <c r="I28" s="168"/>
      <c r="J28" s="67"/>
      <c r="K28" s="67"/>
      <c r="L28" s="45"/>
      <c r="M28" s="168"/>
      <c r="N28" s="67"/>
      <c r="O28" s="67"/>
      <c r="P28" s="45"/>
      <c r="Q28" s="168"/>
      <c r="R28" s="67"/>
      <c r="S28" s="67"/>
      <c r="T28" s="45"/>
      <c r="U28" s="168"/>
      <c r="V28" s="67"/>
      <c r="W28" s="67"/>
      <c r="X28" s="45"/>
      <c r="Y28" s="168"/>
      <c r="Z28" s="67"/>
      <c r="AA28" s="67"/>
      <c r="AB28" s="45"/>
      <c r="AC28" s="168"/>
      <c r="AD28" s="67"/>
      <c r="AE28" s="67"/>
      <c r="AF28" s="45"/>
      <c r="AG28" s="168"/>
      <c r="AH28" s="67"/>
      <c r="AI28" s="67"/>
      <c r="AJ28" s="45"/>
      <c r="AK28" s="168"/>
      <c r="AL28" s="67"/>
      <c r="AM28" s="67"/>
      <c r="AN28" s="45"/>
      <c r="AO28" s="168"/>
      <c r="AP28" s="67"/>
      <c r="AQ28" s="67"/>
      <c r="AR28" s="45"/>
      <c r="AS28" s="168"/>
      <c r="AT28" s="67"/>
      <c r="AU28" s="67"/>
      <c r="AV28" s="45"/>
      <c r="AW28" s="168"/>
      <c r="AX28" s="67"/>
      <c r="AY28" s="67"/>
      <c r="AZ28" s="45"/>
      <c r="BA28" s="168"/>
      <c r="BB28" s="67"/>
      <c r="BC28" s="67"/>
      <c r="BD28" s="45"/>
      <c r="BE28" s="168"/>
      <c r="BF28" s="67"/>
      <c r="BG28" s="67"/>
      <c r="BH28" s="45"/>
      <c r="BI28" s="168"/>
      <c r="BJ28" s="67"/>
      <c r="BK28" s="67"/>
      <c r="BL28" s="45"/>
      <c r="BM28" s="168"/>
      <c r="BN28" s="67"/>
      <c r="BO28" s="67"/>
      <c r="BP28" s="45"/>
      <c r="BQ28" s="168"/>
      <c r="BR28" s="67"/>
      <c r="BS28" s="67"/>
      <c r="BT28" s="45"/>
      <c r="BU28" s="168"/>
      <c r="BV28" s="67"/>
      <c r="BW28" s="67"/>
      <c r="BX28" s="45"/>
      <c r="BY28" s="168"/>
      <c r="BZ28" s="67"/>
      <c r="CA28" s="67"/>
      <c r="CB28" s="45"/>
      <c r="CC28" s="168"/>
      <c r="CD28" s="67"/>
      <c r="CE28" s="67"/>
      <c r="CF28" s="45"/>
      <c r="CG28" s="136"/>
      <c r="CH28" s="169"/>
      <c r="CI28" s="166"/>
      <c r="CJ28" s="166"/>
      <c r="CK28" s="170"/>
      <c r="CL28" s="67"/>
      <c r="CM28" s="171"/>
      <c r="CO28" s="65"/>
      <c r="CP28" s="65"/>
    </row>
    <row r="29" spans="1:94" s="104" customFormat="1" ht="26.25" customHeight="1" x14ac:dyDescent="0.25">
      <c r="A29" s="97"/>
      <c r="B29" s="98"/>
      <c r="C29" s="102" t="s">
        <v>93</v>
      </c>
      <c r="D29" s="109"/>
      <c r="E29" s="109"/>
      <c r="F29" s="101"/>
      <c r="G29" s="101"/>
      <c r="H29" s="144">
        <f>H129*0.03</f>
        <v>120000</v>
      </c>
      <c r="I29" s="100"/>
      <c r="J29" s="101"/>
      <c r="K29" s="101"/>
      <c r="L29" s="102"/>
      <c r="M29" s="100"/>
      <c r="N29" s="101"/>
      <c r="O29" s="101"/>
      <c r="P29" s="102"/>
      <c r="Q29" s="100"/>
      <c r="R29" s="101"/>
      <c r="S29" s="101"/>
      <c r="T29" s="102"/>
      <c r="U29" s="100"/>
      <c r="V29" s="101"/>
      <c r="W29" s="101"/>
      <c r="X29" s="102"/>
      <c r="Y29" s="100"/>
      <c r="Z29" s="101"/>
      <c r="AA29" s="101"/>
      <c r="AB29" s="102"/>
      <c r="AC29" s="100"/>
      <c r="AD29" s="101"/>
      <c r="AE29" s="101"/>
      <c r="AF29" s="102"/>
      <c r="AG29" s="100"/>
      <c r="AH29" s="101"/>
      <c r="AI29" s="101"/>
      <c r="AJ29" s="102"/>
      <c r="AK29" s="100"/>
      <c r="AL29" s="101"/>
      <c r="AM29" s="101"/>
      <c r="AN29" s="102"/>
      <c r="AO29" s="100"/>
      <c r="AP29" s="101"/>
      <c r="AQ29" s="101"/>
      <c r="AR29" s="102"/>
      <c r="AS29" s="100"/>
      <c r="AT29" s="101"/>
      <c r="AU29" s="101"/>
      <c r="AV29" s="102"/>
      <c r="AW29" s="100"/>
      <c r="AX29" s="101"/>
      <c r="AY29" s="101"/>
      <c r="AZ29" s="102"/>
      <c r="BA29" s="100"/>
      <c r="BB29" s="101"/>
      <c r="BC29" s="101"/>
      <c r="BD29" s="102"/>
      <c r="BE29" s="100"/>
      <c r="BF29" s="101"/>
      <c r="BG29" s="101"/>
      <c r="BH29" s="102"/>
      <c r="BI29" s="100"/>
      <c r="BJ29" s="101"/>
      <c r="BK29" s="101"/>
      <c r="BL29" s="102"/>
      <c r="BM29" s="100"/>
      <c r="BN29" s="101"/>
      <c r="BO29" s="101"/>
      <c r="BP29" s="102"/>
      <c r="BQ29" s="100"/>
      <c r="BR29" s="101"/>
      <c r="BS29" s="101"/>
      <c r="BT29" s="102"/>
      <c r="BU29" s="100"/>
      <c r="BV29" s="101"/>
      <c r="BW29" s="101"/>
      <c r="BX29" s="102"/>
      <c r="BY29" s="100"/>
      <c r="BZ29" s="101"/>
      <c r="CA29" s="101"/>
      <c r="CB29" s="102"/>
      <c r="CC29" s="100"/>
      <c r="CD29" s="101"/>
      <c r="CE29" s="101"/>
      <c r="CF29" s="102"/>
      <c r="CG29" s="135"/>
      <c r="CH29" s="100"/>
      <c r="CI29" s="101"/>
      <c r="CJ29" s="101"/>
      <c r="CK29" s="99"/>
      <c r="CL29" s="101"/>
      <c r="CM29" s="103"/>
      <c r="CO29" s="105"/>
      <c r="CP29" s="105"/>
    </row>
    <row r="30" spans="1:94" ht="26.25" customHeight="1" x14ac:dyDescent="0.25">
      <c r="A30" s="32"/>
      <c r="B30" s="74">
        <v>16</v>
      </c>
      <c r="C30" s="113" t="s">
        <v>87</v>
      </c>
      <c r="D30" s="112">
        <v>4</v>
      </c>
      <c r="E30" s="130">
        <f>D30-I30-M30-Q30-U30-Y30-AC30-AK30-AO30-AS30-AW30-BA30-BE30-BI30</f>
        <v>4</v>
      </c>
      <c r="F30" s="44">
        <f>H30/D30</f>
        <v>2100</v>
      </c>
      <c r="G30" s="116"/>
      <c r="H30" s="45">
        <f>H29*0.07</f>
        <v>8400</v>
      </c>
      <c r="I30" s="66"/>
      <c r="J30" s="67">
        <f>I30*$F$30</f>
        <v>0</v>
      </c>
      <c r="K30" s="67">
        <f>I30*$G$30</f>
        <v>0</v>
      </c>
      <c r="L30" s="45">
        <f t="shared" ref="L30:L36" si="399">SUM(J30:K30)</f>
        <v>0</v>
      </c>
      <c r="M30" s="66"/>
      <c r="N30" s="67">
        <f t="shared" ref="N30" si="400">M30*$F$30</f>
        <v>0</v>
      </c>
      <c r="O30" s="67">
        <f t="shared" ref="O30" si="401">M30*$G$30</f>
        <v>0</v>
      </c>
      <c r="P30" s="45">
        <f t="shared" ref="P30:P40" si="402">SUM(N30:O30)</f>
        <v>0</v>
      </c>
      <c r="Q30" s="66"/>
      <c r="R30" s="67">
        <f t="shared" ref="R30" si="403">Q30*$F$30</f>
        <v>0</v>
      </c>
      <c r="S30" s="67">
        <f t="shared" ref="S30" si="404">Q30*$G$30</f>
        <v>0</v>
      </c>
      <c r="T30" s="45">
        <f t="shared" ref="T30:T40" si="405">SUM(R30:S30)</f>
        <v>0</v>
      </c>
      <c r="U30" s="66"/>
      <c r="V30" s="67">
        <f t="shared" ref="V30" si="406">U30*$F$30</f>
        <v>0</v>
      </c>
      <c r="W30" s="67">
        <f t="shared" ref="W30" si="407">U30*$G$30</f>
        <v>0</v>
      </c>
      <c r="X30" s="45">
        <f t="shared" ref="X30:X40" si="408">SUM(V30:W30)</f>
        <v>0</v>
      </c>
      <c r="Y30" s="66"/>
      <c r="Z30" s="67">
        <f t="shared" ref="Z30" si="409">Y30*$F$30</f>
        <v>0</v>
      </c>
      <c r="AA30" s="67">
        <f t="shared" ref="AA30" si="410">Y30*$G$30</f>
        <v>0</v>
      </c>
      <c r="AB30" s="45">
        <f t="shared" ref="AB30:AB40" si="411">SUM(Z30:AA30)</f>
        <v>0</v>
      </c>
      <c r="AC30" s="66"/>
      <c r="AD30" s="67">
        <f t="shared" ref="AD30" si="412">AC30*$F$30</f>
        <v>0</v>
      </c>
      <c r="AE30" s="67">
        <f t="shared" ref="AE30" si="413">AC30*$G$30</f>
        <v>0</v>
      </c>
      <c r="AF30" s="45">
        <f t="shared" ref="AF30:AF40" si="414">SUM(AD30:AE30)</f>
        <v>0</v>
      </c>
      <c r="AG30" s="66"/>
      <c r="AH30" s="67">
        <f t="shared" ref="AH30" si="415">AG30*$F$30</f>
        <v>0</v>
      </c>
      <c r="AI30" s="67">
        <f t="shared" ref="AI30" si="416">AG30*$G$30</f>
        <v>0</v>
      </c>
      <c r="AJ30" s="45">
        <f t="shared" ref="AJ30:AJ40" si="417">SUM(AH30:AI30)</f>
        <v>0</v>
      </c>
      <c r="AK30" s="66"/>
      <c r="AL30" s="67">
        <f t="shared" ref="AL30" si="418">AK30*$F$30</f>
        <v>0</v>
      </c>
      <c r="AM30" s="67">
        <f t="shared" ref="AM30" si="419">AK30*$G$30</f>
        <v>0</v>
      </c>
      <c r="AN30" s="45">
        <f t="shared" ref="AN30:AN40" si="420">SUM(AL30:AM30)</f>
        <v>0</v>
      </c>
      <c r="AO30" s="66"/>
      <c r="AP30" s="67">
        <f t="shared" ref="AP30" si="421">AO30*$F$30</f>
        <v>0</v>
      </c>
      <c r="AQ30" s="67">
        <f t="shared" ref="AQ30" si="422">AO30*$G$30</f>
        <v>0</v>
      </c>
      <c r="AR30" s="45">
        <f t="shared" ref="AR30:AR40" si="423">SUM(AP30:AQ30)</f>
        <v>0</v>
      </c>
      <c r="AS30" s="66"/>
      <c r="AT30" s="67">
        <f t="shared" ref="AT30" si="424">AS30*$F$30</f>
        <v>0</v>
      </c>
      <c r="AU30" s="67">
        <f t="shared" ref="AU30" si="425">AS30*$G$30</f>
        <v>0</v>
      </c>
      <c r="AV30" s="45">
        <f t="shared" ref="AV30:AV40" si="426">SUM(AT30:AU30)</f>
        <v>0</v>
      </c>
      <c r="AW30" s="66"/>
      <c r="AX30" s="67">
        <f t="shared" ref="AX30" si="427">AW30*$F$30</f>
        <v>0</v>
      </c>
      <c r="AY30" s="67">
        <f t="shared" ref="AY30" si="428">AW30*$G$30</f>
        <v>0</v>
      </c>
      <c r="AZ30" s="45">
        <f t="shared" ref="AZ30:AZ40" si="429">SUM(AX30:AY30)</f>
        <v>0</v>
      </c>
      <c r="BA30" s="66"/>
      <c r="BB30" s="67">
        <f t="shared" ref="BB30" si="430">BA30*$F$30</f>
        <v>0</v>
      </c>
      <c r="BC30" s="67">
        <f t="shared" ref="BC30" si="431">BA30*$G$30</f>
        <v>0</v>
      </c>
      <c r="BD30" s="45">
        <f t="shared" ref="BD30:BD40" si="432">SUM(BB30:BC30)</f>
        <v>0</v>
      </c>
      <c r="BE30" s="66"/>
      <c r="BF30" s="44">
        <f t="shared" ref="BF30" si="433">F30*BE30</f>
        <v>0</v>
      </c>
      <c r="BG30" s="44">
        <f t="shared" ref="BG30" si="434">G30*BE30</f>
        <v>0</v>
      </c>
      <c r="BH30" s="45">
        <f t="shared" ref="BH30" si="435">BG30+BF30</f>
        <v>0</v>
      </c>
      <c r="BI30" s="66"/>
      <c r="BJ30" s="44">
        <f t="shared" ref="BJ30" si="436">BI30*F30</f>
        <v>0</v>
      </c>
      <c r="BK30" s="44"/>
      <c r="BL30" s="45">
        <f t="shared" ref="BL30" si="437">BK30+BJ30</f>
        <v>0</v>
      </c>
      <c r="BM30" s="66"/>
      <c r="BN30" s="67">
        <f t="shared" ref="BN30:BN40" si="438">BM30*F30</f>
        <v>0</v>
      </c>
      <c r="BO30" s="67"/>
      <c r="BP30" s="45">
        <f t="shared" ref="BP30" si="439">BO30+BN30</f>
        <v>0</v>
      </c>
      <c r="BQ30" s="66"/>
      <c r="BR30" s="44">
        <f t="shared" ref="BR30:BR40" si="440">BQ30*F30</f>
        <v>0</v>
      </c>
      <c r="BS30" s="67"/>
      <c r="BT30" s="45">
        <f t="shared" ref="BT30:BT40" si="441">BS30+BR30</f>
        <v>0</v>
      </c>
      <c r="BU30" s="66"/>
      <c r="BV30" s="44">
        <f t="shared" ref="BV30:BV40" si="442">F30*BU30</f>
        <v>0</v>
      </c>
      <c r="BW30" s="67"/>
      <c r="BX30" s="45">
        <f t="shared" ref="BX30:BX40" si="443">BW30+BV30</f>
        <v>0</v>
      </c>
      <c r="BY30" s="66"/>
      <c r="BZ30" s="44">
        <f t="shared" ref="BZ30:BZ40" si="444">BY30*J30</f>
        <v>0</v>
      </c>
      <c r="CA30" s="67"/>
      <c r="CB30" s="45">
        <f t="shared" ref="CB30:CB40" si="445">CA30+BZ30</f>
        <v>0</v>
      </c>
      <c r="CC30" s="66"/>
      <c r="CD30" s="44">
        <f>CC30*N30</f>
        <v>0</v>
      </c>
      <c r="CE30" s="67"/>
      <c r="CF30" s="45">
        <f t="shared" ref="CF30:CF40" si="446">CE30+CD30</f>
        <v>0</v>
      </c>
      <c r="CG30" s="136"/>
      <c r="CH30" s="91">
        <f t="shared" ref="CH30" si="447">I30+M30+Q30+U30+Y30+AC30+AG30+AK30+AO30+BA30+BE30+BI30+BM30+BQ30+BU30+BY30+CC30</f>
        <v>0</v>
      </c>
      <c r="CI30" s="47">
        <f t="shared" ref="CI30" si="448">CH30*F30</f>
        <v>0</v>
      </c>
      <c r="CJ30" s="47">
        <f t="shared" ref="CJ30:CJ57" si="449">CH30*G30</f>
        <v>0</v>
      </c>
      <c r="CK30" s="48">
        <f t="shared" si="211"/>
        <v>0</v>
      </c>
      <c r="CL30" s="49">
        <f t="shared" ref="CL30:CL57" si="450">D30-CH30</f>
        <v>4</v>
      </c>
      <c r="CM30" s="50">
        <f t="shared" ref="CM30:CM57" si="451">H30-CK30</f>
        <v>8400</v>
      </c>
      <c r="CO30" s="65"/>
      <c r="CP30" s="65"/>
    </row>
    <row r="31" spans="1:94" ht="26.25" customHeight="1" x14ac:dyDescent="0.25">
      <c r="A31" s="32"/>
      <c r="B31" s="74">
        <v>17</v>
      </c>
      <c r="C31" s="113" t="s">
        <v>86</v>
      </c>
      <c r="D31" s="112">
        <v>4</v>
      </c>
      <c r="E31" s="130">
        <f>D31-I31-M31-Q31-U31-Y31-AC31-AK31-AO31-AS31-AW31-BA31-BE31-BI31</f>
        <v>4</v>
      </c>
      <c r="F31" s="44">
        <f>H31/D31</f>
        <v>2100</v>
      </c>
      <c r="G31" s="116"/>
      <c r="H31" s="45">
        <f>H29*0.07</f>
        <v>8400</v>
      </c>
      <c r="I31" s="66"/>
      <c r="J31" s="67">
        <f>I31*$F$30</f>
        <v>0</v>
      </c>
      <c r="K31" s="67">
        <f>I31*$G$30</f>
        <v>0</v>
      </c>
      <c r="L31" s="45">
        <f t="shared" ref="L31" si="452">SUM(J31:K31)</f>
        <v>0</v>
      </c>
      <c r="M31" s="66"/>
      <c r="N31" s="67">
        <f t="shared" ref="N31" si="453">M31*$F$30</f>
        <v>0</v>
      </c>
      <c r="O31" s="67">
        <f t="shared" ref="O31" si="454">M31*$G$30</f>
        <v>0</v>
      </c>
      <c r="P31" s="45">
        <f t="shared" ref="P31" si="455">SUM(N31:O31)</f>
        <v>0</v>
      </c>
      <c r="Q31" s="66"/>
      <c r="R31" s="67">
        <f t="shared" ref="R31" si="456">Q31*$F$30</f>
        <v>0</v>
      </c>
      <c r="S31" s="67">
        <f t="shared" ref="S31" si="457">Q31*$G$30</f>
        <v>0</v>
      </c>
      <c r="T31" s="45">
        <f t="shared" ref="T31" si="458">SUM(R31:S31)</f>
        <v>0</v>
      </c>
      <c r="U31" s="66"/>
      <c r="V31" s="67">
        <f t="shared" ref="V31" si="459">U31*$F$30</f>
        <v>0</v>
      </c>
      <c r="W31" s="67">
        <f t="shared" ref="W31" si="460">U31*$G$30</f>
        <v>0</v>
      </c>
      <c r="X31" s="45">
        <f t="shared" ref="X31" si="461">SUM(V31:W31)</f>
        <v>0</v>
      </c>
      <c r="Y31" s="66"/>
      <c r="Z31" s="67">
        <f t="shared" ref="Z31" si="462">Y31*$F$30</f>
        <v>0</v>
      </c>
      <c r="AA31" s="67">
        <f t="shared" ref="AA31" si="463">Y31*$G$30</f>
        <v>0</v>
      </c>
      <c r="AB31" s="45">
        <f t="shared" ref="AB31" si="464">SUM(Z31:AA31)</f>
        <v>0</v>
      </c>
      <c r="AC31" s="66"/>
      <c r="AD31" s="67">
        <f t="shared" ref="AD31" si="465">AC31*$F$30</f>
        <v>0</v>
      </c>
      <c r="AE31" s="67">
        <f t="shared" ref="AE31" si="466">AC31*$G$30</f>
        <v>0</v>
      </c>
      <c r="AF31" s="45">
        <f t="shared" ref="AF31" si="467">SUM(AD31:AE31)</f>
        <v>0</v>
      </c>
      <c r="AG31" s="66"/>
      <c r="AH31" s="67">
        <f t="shared" ref="AH31" si="468">AG31*$F$30</f>
        <v>0</v>
      </c>
      <c r="AI31" s="67">
        <f t="shared" ref="AI31" si="469">AG31*$G$30</f>
        <v>0</v>
      </c>
      <c r="AJ31" s="45">
        <f t="shared" ref="AJ31" si="470">SUM(AH31:AI31)</f>
        <v>0</v>
      </c>
      <c r="AK31" s="66"/>
      <c r="AL31" s="67">
        <f t="shared" ref="AL31" si="471">AK31*$F$30</f>
        <v>0</v>
      </c>
      <c r="AM31" s="67">
        <f t="shared" ref="AM31" si="472">AK31*$G$30</f>
        <v>0</v>
      </c>
      <c r="AN31" s="45">
        <f t="shared" ref="AN31" si="473">SUM(AL31:AM31)</f>
        <v>0</v>
      </c>
      <c r="AO31" s="66"/>
      <c r="AP31" s="67">
        <f t="shared" ref="AP31" si="474">AO31*$F$30</f>
        <v>0</v>
      </c>
      <c r="AQ31" s="67">
        <f t="shared" ref="AQ31" si="475">AO31*$G$30</f>
        <v>0</v>
      </c>
      <c r="AR31" s="45">
        <f t="shared" ref="AR31" si="476">SUM(AP31:AQ31)</f>
        <v>0</v>
      </c>
      <c r="AS31" s="66"/>
      <c r="AT31" s="67">
        <f t="shared" ref="AT31" si="477">AS31*$F$30</f>
        <v>0</v>
      </c>
      <c r="AU31" s="67">
        <f t="shared" ref="AU31" si="478">AS31*$G$30</f>
        <v>0</v>
      </c>
      <c r="AV31" s="45">
        <f t="shared" ref="AV31" si="479">SUM(AT31:AU31)</f>
        <v>0</v>
      </c>
      <c r="AW31" s="66"/>
      <c r="AX31" s="67">
        <f t="shared" ref="AX31" si="480">AW31*$F$30</f>
        <v>0</v>
      </c>
      <c r="AY31" s="67">
        <f t="shared" ref="AY31" si="481">AW31*$G$30</f>
        <v>0</v>
      </c>
      <c r="AZ31" s="45">
        <f t="shared" ref="AZ31" si="482">SUM(AX31:AY31)</f>
        <v>0</v>
      </c>
      <c r="BA31" s="66"/>
      <c r="BB31" s="67">
        <f t="shared" ref="BB31" si="483">BA31*$F$30</f>
        <v>0</v>
      </c>
      <c r="BC31" s="67">
        <f t="shared" ref="BC31" si="484">BA31*$G$30</f>
        <v>0</v>
      </c>
      <c r="BD31" s="45">
        <f t="shared" ref="BD31" si="485">SUM(BB31:BC31)</f>
        <v>0</v>
      </c>
      <c r="BE31" s="66"/>
      <c r="BF31" s="44">
        <f t="shared" ref="BF31" si="486">F31*BE31</f>
        <v>0</v>
      </c>
      <c r="BG31" s="44">
        <f t="shared" ref="BG31" si="487">G31*BE31</f>
        <v>0</v>
      </c>
      <c r="BH31" s="45">
        <f t="shared" ref="BH31" si="488">BG31+BF31</f>
        <v>0</v>
      </c>
      <c r="BI31" s="66"/>
      <c r="BJ31" s="44">
        <f t="shared" ref="BJ31" si="489">BI31*F31</f>
        <v>0</v>
      </c>
      <c r="BK31" s="44"/>
      <c r="BL31" s="45">
        <f t="shared" ref="BL31" si="490">BK31+BJ31</f>
        <v>0</v>
      </c>
      <c r="BM31" s="66"/>
      <c r="BN31" s="67">
        <f t="shared" ref="BN31" si="491">BM31*F31</f>
        <v>0</v>
      </c>
      <c r="BO31" s="67"/>
      <c r="BP31" s="45">
        <f t="shared" ref="BP31" si="492">BO31+BN31</f>
        <v>0</v>
      </c>
      <c r="BQ31" s="66"/>
      <c r="BR31" s="44">
        <f t="shared" ref="BR31" si="493">BQ31*F31</f>
        <v>0</v>
      </c>
      <c r="BS31" s="67"/>
      <c r="BT31" s="45">
        <f t="shared" ref="BT31" si="494">BS31+BR31</f>
        <v>0</v>
      </c>
      <c r="BU31" s="66"/>
      <c r="BV31" s="44">
        <f t="shared" ref="BV31" si="495">F31*BU31</f>
        <v>0</v>
      </c>
      <c r="BW31" s="67"/>
      <c r="BX31" s="45">
        <f t="shared" ref="BX31" si="496">BW31+BV31</f>
        <v>0</v>
      </c>
      <c r="BY31" s="66"/>
      <c r="BZ31" s="44">
        <f t="shared" ref="BZ31" si="497">BY31*J31</f>
        <v>0</v>
      </c>
      <c r="CA31" s="67"/>
      <c r="CB31" s="45">
        <f t="shared" ref="CB31" si="498">CA31+BZ31</f>
        <v>0</v>
      </c>
      <c r="CC31" s="66"/>
      <c r="CD31" s="44">
        <f>CC31*N31</f>
        <v>0</v>
      </c>
      <c r="CE31" s="67"/>
      <c r="CF31" s="45">
        <f t="shared" ref="CF31" si="499">CE31+CD31</f>
        <v>0</v>
      </c>
      <c r="CG31" s="136"/>
      <c r="CH31" s="91">
        <f t="shared" ref="CH31" si="500">I31+M31+Q31+U31+Y31+AC31+AG31+AK31+AO31+BA31+BE31+BI31+BM31+BQ31+BU31+BY31+CC31</f>
        <v>0</v>
      </c>
      <c r="CI31" s="47">
        <f t="shared" ref="CI31" si="501">CH31*F31</f>
        <v>0</v>
      </c>
      <c r="CJ31" s="47">
        <f t="shared" ref="CJ31" si="502">CH31*G31</f>
        <v>0</v>
      </c>
      <c r="CK31" s="48">
        <f t="shared" ref="CK31" si="503">SUM(CI31:CJ31)</f>
        <v>0</v>
      </c>
      <c r="CL31" s="49">
        <f t="shared" ref="CL31" si="504">D31-CH31</f>
        <v>4</v>
      </c>
      <c r="CM31" s="50">
        <f t="shared" ref="CM31" si="505">H31-CK31</f>
        <v>8400</v>
      </c>
      <c r="CO31" s="65"/>
      <c r="CP31" s="65"/>
    </row>
    <row r="32" spans="1:94" ht="26.25" customHeight="1" x14ac:dyDescent="0.25">
      <c r="A32" s="32"/>
      <c r="B32" s="74">
        <v>18</v>
      </c>
      <c r="C32" s="113" t="s">
        <v>89</v>
      </c>
      <c r="D32" s="112">
        <v>4</v>
      </c>
      <c r="E32" s="130">
        <f t="shared" ref="E32" si="506">D32-I32-M32-Q32-U32-Y32-AC32-AK32-AO32-AS32-AW32-BA32-BE32-BI32</f>
        <v>4</v>
      </c>
      <c r="F32" s="44">
        <f t="shared" ref="F32:F40" si="507">H32/D32</f>
        <v>2100</v>
      </c>
      <c r="G32" s="116"/>
      <c r="H32" s="45">
        <f>H29*0.07</f>
        <v>8400</v>
      </c>
      <c r="I32" s="66"/>
      <c r="J32" s="67">
        <f>I32*$F$32</f>
        <v>0</v>
      </c>
      <c r="K32" s="67">
        <f>I32*$G$32</f>
        <v>0</v>
      </c>
      <c r="L32" s="45">
        <f t="shared" si="399"/>
        <v>0</v>
      </c>
      <c r="M32" s="66"/>
      <c r="N32" s="67">
        <f t="shared" ref="N32" si="508">M32*$F$32</f>
        <v>0</v>
      </c>
      <c r="O32" s="67">
        <f t="shared" ref="O32" si="509">M32*$G$32</f>
        <v>0</v>
      </c>
      <c r="P32" s="45">
        <f t="shared" si="402"/>
        <v>0</v>
      </c>
      <c r="Q32" s="66"/>
      <c r="R32" s="67">
        <f t="shared" ref="R32" si="510">Q32*$F$32</f>
        <v>0</v>
      </c>
      <c r="S32" s="67">
        <f t="shared" ref="S32" si="511">Q32*$G$32</f>
        <v>0</v>
      </c>
      <c r="T32" s="45">
        <f t="shared" si="405"/>
        <v>0</v>
      </c>
      <c r="U32" s="66"/>
      <c r="V32" s="67">
        <f t="shared" ref="V32" si="512">U32*$F$32</f>
        <v>0</v>
      </c>
      <c r="W32" s="67">
        <f t="shared" ref="W32" si="513">U32*$G$32</f>
        <v>0</v>
      </c>
      <c r="X32" s="45">
        <f t="shared" si="408"/>
        <v>0</v>
      </c>
      <c r="Y32" s="66"/>
      <c r="Z32" s="67">
        <f t="shared" ref="Z32" si="514">Y32*$F$32</f>
        <v>0</v>
      </c>
      <c r="AA32" s="67">
        <f t="shared" ref="AA32" si="515">Y32*$G$32</f>
        <v>0</v>
      </c>
      <c r="AB32" s="45">
        <f t="shared" si="411"/>
        <v>0</v>
      </c>
      <c r="AC32" s="66"/>
      <c r="AD32" s="67">
        <f t="shared" ref="AD32" si="516">AC32*$F$32</f>
        <v>0</v>
      </c>
      <c r="AE32" s="67">
        <f t="shared" ref="AE32" si="517">AC32*$G$32</f>
        <v>0</v>
      </c>
      <c r="AF32" s="45">
        <f t="shared" si="414"/>
        <v>0</v>
      </c>
      <c r="AG32" s="66"/>
      <c r="AH32" s="67">
        <f t="shared" ref="AH32" si="518">AG32*$F$32</f>
        <v>0</v>
      </c>
      <c r="AI32" s="67">
        <f t="shared" ref="AI32" si="519">AG32*$G$32</f>
        <v>0</v>
      </c>
      <c r="AJ32" s="45">
        <f t="shared" si="417"/>
        <v>0</v>
      </c>
      <c r="AK32" s="66"/>
      <c r="AL32" s="67">
        <f t="shared" ref="AL32" si="520">AK32*$F$32</f>
        <v>0</v>
      </c>
      <c r="AM32" s="67">
        <f t="shared" ref="AM32" si="521">AK32*$G$32</f>
        <v>0</v>
      </c>
      <c r="AN32" s="45">
        <f t="shared" si="420"/>
        <v>0</v>
      </c>
      <c r="AO32" s="66"/>
      <c r="AP32" s="67">
        <f t="shared" ref="AP32" si="522">AO32*$F$32</f>
        <v>0</v>
      </c>
      <c r="AQ32" s="67">
        <f t="shared" ref="AQ32" si="523">AO32*$G$32</f>
        <v>0</v>
      </c>
      <c r="AR32" s="45">
        <f t="shared" si="423"/>
        <v>0</v>
      </c>
      <c r="AS32" s="66"/>
      <c r="AT32" s="67">
        <f t="shared" ref="AT32" si="524">AS32*$F$32</f>
        <v>0</v>
      </c>
      <c r="AU32" s="67">
        <f t="shared" ref="AU32" si="525">AS32*$G$32</f>
        <v>0</v>
      </c>
      <c r="AV32" s="45">
        <f t="shared" si="426"/>
        <v>0</v>
      </c>
      <c r="AW32" s="66"/>
      <c r="AX32" s="67">
        <f t="shared" ref="AX32" si="526">AW32*$F$32</f>
        <v>0</v>
      </c>
      <c r="AY32" s="67">
        <f t="shared" ref="AY32" si="527">AW32*$G$32</f>
        <v>0</v>
      </c>
      <c r="AZ32" s="45">
        <f t="shared" si="429"/>
        <v>0</v>
      </c>
      <c r="BA32" s="66"/>
      <c r="BB32" s="67">
        <f t="shared" ref="BB32" si="528">BA32*$F$32</f>
        <v>0</v>
      </c>
      <c r="BC32" s="67">
        <f t="shared" ref="BC32" si="529">BA32*$G$32</f>
        <v>0</v>
      </c>
      <c r="BD32" s="45">
        <f t="shared" si="432"/>
        <v>0</v>
      </c>
      <c r="BE32" s="66"/>
      <c r="BF32" s="44">
        <f t="shared" ref="BF32:BF40" si="530">F32*BE32</f>
        <v>0</v>
      </c>
      <c r="BG32" s="44">
        <f t="shared" ref="BG32:BG40" si="531">G32*BE32</f>
        <v>0</v>
      </c>
      <c r="BH32" s="45">
        <f t="shared" ref="BH32:BH40" si="532">BG32+BF32</f>
        <v>0</v>
      </c>
      <c r="BI32" s="66"/>
      <c r="BJ32" s="44">
        <f t="shared" ref="BJ32:BJ40" si="533">BI32*F32</f>
        <v>0</v>
      </c>
      <c r="BK32" s="44"/>
      <c r="BL32" s="45">
        <f t="shared" ref="BL32:BL40" si="534">BK32+BJ32</f>
        <v>0</v>
      </c>
      <c r="BM32" s="66"/>
      <c r="BN32" s="67">
        <f t="shared" si="438"/>
        <v>0</v>
      </c>
      <c r="BO32" s="67"/>
      <c r="BP32" s="45">
        <f t="shared" ref="BP32:BP40" si="535">BO32+BN32</f>
        <v>0</v>
      </c>
      <c r="BQ32" s="66"/>
      <c r="BR32" s="44">
        <f t="shared" si="440"/>
        <v>0</v>
      </c>
      <c r="BS32" s="67"/>
      <c r="BT32" s="45">
        <f t="shared" si="441"/>
        <v>0</v>
      </c>
      <c r="BU32" s="66"/>
      <c r="BV32" s="44">
        <f t="shared" si="442"/>
        <v>0</v>
      </c>
      <c r="BW32" s="67"/>
      <c r="BX32" s="45">
        <f t="shared" si="443"/>
        <v>0</v>
      </c>
      <c r="BY32" s="66"/>
      <c r="BZ32" s="44">
        <f t="shared" si="444"/>
        <v>0</v>
      </c>
      <c r="CA32" s="67"/>
      <c r="CB32" s="45">
        <f t="shared" si="445"/>
        <v>0</v>
      </c>
      <c r="CC32" s="66"/>
      <c r="CD32" s="44">
        <f t="shared" ref="CD32:CD40" si="536">CC32*N32</f>
        <v>0</v>
      </c>
      <c r="CE32" s="67"/>
      <c r="CF32" s="45">
        <f t="shared" si="446"/>
        <v>0</v>
      </c>
      <c r="CG32" s="136"/>
      <c r="CH32" s="91">
        <f t="shared" ref="CH32:CH42" si="537">I32+M32+Q32+U32+Y32+AC32+AG32+AK32+AO32+BA32</f>
        <v>0</v>
      </c>
      <c r="CI32" s="47">
        <f t="shared" ref="CI32:CI57" si="538">CH32*F32</f>
        <v>0</v>
      </c>
      <c r="CJ32" s="47">
        <f t="shared" si="449"/>
        <v>0</v>
      </c>
      <c r="CK32" s="48">
        <f t="shared" si="211"/>
        <v>0</v>
      </c>
      <c r="CL32" s="49">
        <f t="shared" si="450"/>
        <v>4</v>
      </c>
      <c r="CM32" s="50">
        <f t="shared" si="451"/>
        <v>8400</v>
      </c>
      <c r="CO32" s="65"/>
      <c r="CP32" s="65"/>
    </row>
    <row r="33" spans="1:94" ht="26.25" customHeight="1" x14ac:dyDescent="0.25">
      <c r="A33" s="32"/>
      <c r="B33" s="74">
        <v>19</v>
      </c>
      <c r="C33" s="113" t="s">
        <v>88</v>
      </c>
      <c r="D33" s="112">
        <v>4</v>
      </c>
      <c r="E33" s="130">
        <f t="shared" ref="E33" si="539">D33-I33-M33-Q33-U33-Y33-AC33-AK33-AO33-AS33-AW33-BA33-BE33-BI33</f>
        <v>4</v>
      </c>
      <c r="F33" s="44">
        <f>H33/D33</f>
        <v>2100</v>
      </c>
      <c r="G33" s="116"/>
      <c r="H33" s="45">
        <f>H29*0.07</f>
        <v>8400</v>
      </c>
      <c r="I33" s="66"/>
      <c r="J33" s="67">
        <f>I33*$F$32</f>
        <v>0</v>
      </c>
      <c r="K33" s="67">
        <f>I33*$G$32</f>
        <v>0</v>
      </c>
      <c r="L33" s="45">
        <f t="shared" ref="L33" si="540">SUM(J33:K33)</f>
        <v>0</v>
      </c>
      <c r="M33" s="66"/>
      <c r="N33" s="67">
        <f t="shared" ref="N33" si="541">M33*$F$32</f>
        <v>0</v>
      </c>
      <c r="O33" s="67">
        <f t="shared" ref="O33" si="542">M33*$G$32</f>
        <v>0</v>
      </c>
      <c r="P33" s="45">
        <f t="shared" ref="P33" si="543">SUM(N33:O33)</f>
        <v>0</v>
      </c>
      <c r="Q33" s="66"/>
      <c r="R33" s="67">
        <f t="shared" ref="R33" si="544">Q33*$F$32</f>
        <v>0</v>
      </c>
      <c r="S33" s="67">
        <f t="shared" ref="S33" si="545">Q33*$G$32</f>
        <v>0</v>
      </c>
      <c r="T33" s="45">
        <f t="shared" ref="T33" si="546">SUM(R33:S33)</f>
        <v>0</v>
      </c>
      <c r="U33" s="66"/>
      <c r="V33" s="67">
        <f t="shared" ref="V33" si="547">U33*$F$32</f>
        <v>0</v>
      </c>
      <c r="W33" s="67">
        <f t="shared" ref="W33" si="548">U33*$G$32</f>
        <v>0</v>
      </c>
      <c r="X33" s="45">
        <f t="shared" ref="X33" si="549">SUM(V33:W33)</f>
        <v>0</v>
      </c>
      <c r="Y33" s="66"/>
      <c r="Z33" s="67">
        <f t="shared" ref="Z33" si="550">Y33*$F$32</f>
        <v>0</v>
      </c>
      <c r="AA33" s="67">
        <f t="shared" ref="AA33" si="551">Y33*$G$32</f>
        <v>0</v>
      </c>
      <c r="AB33" s="45">
        <f t="shared" ref="AB33" si="552">SUM(Z33:AA33)</f>
        <v>0</v>
      </c>
      <c r="AC33" s="66"/>
      <c r="AD33" s="67">
        <f t="shared" ref="AD33" si="553">AC33*$F$32</f>
        <v>0</v>
      </c>
      <c r="AE33" s="67">
        <f t="shared" ref="AE33" si="554">AC33*$G$32</f>
        <v>0</v>
      </c>
      <c r="AF33" s="45">
        <f t="shared" ref="AF33" si="555">SUM(AD33:AE33)</f>
        <v>0</v>
      </c>
      <c r="AG33" s="66"/>
      <c r="AH33" s="67">
        <f t="shared" ref="AH33" si="556">AG33*$F$32</f>
        <v>0</v>
      </c>
      <c r="AI33" s="67">
        <f t="shared" ref="AI33" si="557">AG33*$G$32</f>
        <v>0</v>
      </c>
      <c r="AJ33" s="45">
        <f t="shared" ref="AJ33" si="558">SUM(AH33:AI33)</f>
        <v>0</v>
      </c>
      <c r="AK33" s="66"/>
      <c r="AL33" s="67">
        <f t="shared" ref="AL33" si="559">AK33*$F$32</f>
        <v>0</v>
      </c>
      <c r="AM33" s="67">
        <f t="shared" ref="AM33" si="560">AK33*$G$32</f>
        <v>0</v>
      </c>
      <c r="AN33" s="45">
        <f t="shared" ref="AN33" si="561">SUM(AL33:AM33)</f>
        <v>0</v>
      </c>
      <c r="AO33" s="66"/>
      <c r="AP33" s="67">
        <f t="shared" ref="AP33" si="562">AO33*$F$32</f>
        <v>0</v>
      </c>
      <c r="AQ33" s="67">
        <f t="shared" ref="AQ33" si="563">AO33*$G$32</f>
        <v>0</v>
      </c>
      <c r="AR33" s="45">
        <f t="shared" ref="AR33" si="564">SUM(AP33:AQ33)</f>
        <v>0</v>
      </c>
      <c r="AS33" s="66"/>
      <c r="AT33" s="67">
        <f t="shared" ref="AT33" si="565">AS33*$F$32</f>
        <v>0</v>
      </c>
      <c r="AU33" s="67">
        <f t="shared" ref="AU33" si="566">AS33*$G$32</f>
        <v>0</v>
      </c>
      <c r="AV33" s="45">
        <f t="shared" ref="AV33" si="567">SUM(AT33:AU33)</f>
        <v>0</v>
      </c>
      <c r="AW33" s="66"/>
      <c r="AX33" s="67">
        <f t="shared" ref="AX33" si="568">AW33*$F$32</f>
        <v>0</v>
      </c>
      <c r="AY33" s="67">
        <f t="shared" ref="AY33" si="569">AW33*$G$32</f>
        <v>0</v>
      </c>
      <c r="AZ33" s="45">
        <f t="shared" ref="AZ33" si="570">SUM(AX33:AY33)</f>
        <v>0</v>
      </c>
      <c r="BA33" s="66"/>
      <c r="BB33" s="67">
        <f t="shared" ref="BB33" si="571">BA33*$F$32</f>
        <v>0</v>
      </c>
      <c r="BC33" s="67">
        <f t="shared" ref="BC33" si="572">BA33*$G$32</f>
        <v>0</v>
      </c>
      <c r="BD33" s="45">
        <f t="shared" ref="BD33" si="573">SUM(BB33:BC33)</f>
        <v>0</v>
      </c>
      <c r="BE33" s="66"/>
      <c r="BF33" s="44">
        <f t="shared" ref="BF33" si="574">F33*BE33</f>
        <v>0</v>
      </c>
      <c r="BG33" s="44">
        <f t="shared" ref="BG33" si="575">G33*BE33</f>
        <v>0</v>
      </c>
      <c r="BH33" s="45">
        <f t="shared" ref="BH33" si="576">BG33+BF33</f>
        <v>0</v>
      </c>
      <c r="BI33" s="66"/>
      <c r="BJ33" s="44">
        <f t="shared" ref="BJ33" si="577">BI33*F33</f>
        <v>0</v>
      </c>
      <c r="BK33" s="44"/>
      <c r="BL33" s="45">
        <f t="shared" ref="BL33" si="578">BK33+BJ33</f>
        <v>0</v>
      </c>
      <c r="BM33" s="66"/>
      <c r="BN33" s="67">
        <f t="shared" ref="BN33" si="579">BM33*F33</f>
        <v>0</v>
      </c>
      <c r="BO33" s="67"/>
      <c r="BP33" s="45">
        <f t="shared" ref="BP33" si="580">BO33+BN33</f>
        <v>0</v>
      </c>
      <c r="BQ33" s="66"/>
      <c r="BR33" s="44">
        <f t="shared" ref="BR33" si="581">BQ33*F33</f>
        <v>0</v>
      </c>
      <c r="BS33" s="67"/>
      <c r="BT33" s="45">
        <f t="shared" ref="BT33" si="582">BS33+BR33</f>
        <v>0</v>
      </c>
      <c r="BU33" s="66"/>
      <c r="BV33" s="44">
        <f t="shared" ref="BV33" si="583">F33*BU33</f>
        <v>0</v>
      </c>
      <c r="BW33" s="67"/>
      <c r="BX33" s="45">
        <f t="shared" ref="BX33" si="584">BW33+BV33</f>
        <v>0</v>
      </c>
      <c r="BY33" s="66"/>
      <c r="BZ33" s="44">
        <f t="shared" ref="BZ33" si="585">BY33*J33</f>
        <v>0</v>
      </c>
      <c r="CA33" s="67"/>
      <c r="CB33" s="45">
        <f t="shared" ref="CB33" si="586">CA33+BZ33</f>
        <v>0</v>
      </c>
      <c r="CC33" s="66"/>
      <c r="CD33" s="44">
        <f t="shared" ref="CD33" si="587">CC33*N33</f>
        <v>0</v>
      </c>
      <c r="CE33" s="67"/>
      <c r="CF33" s="45">
        <f t="shared" ref="CF33" si="588">CE33+CD33</f>
        <v>0</v>
      </c>
      <c r="CG33" s="136"/>
      <c r="CH33" s="91">
        <f t="shared" ref="CH33" si="589">I33+M33+Q33+U33+Y33+AC33+AG33+AK33+AO33+BA33</f>
        <v>0</v>
      </c>
      <c r="CI33" s="47">
        <f t="shared" ref="CI33" si="590">CH33*F33</f>
        <v>0</v>
      </c>
      <c r="CJ33" s="47">
        <f t="shared" ref="CJ33" si="591">CH33*G33</f>
        <v>0</v>
      </c>
      <c r="CK33" s="48">
        <f t="shared" ref="CK33" si="592">SUM(CI33:CJ33)</f>
        <v>0</v>
      </c>
      <c r="CL33" s="49">
        <f t="shared" ref="CL33" si="593">D33-CH33</f>
        <v>4</v>
      </c>
      <c r="CM33" s="50">
        <f t="shared" ref="CM33" si="594">H33-CK33</f>
        <v>8400</v>
      </c>
      <c r="CO33" s="65"/>
      <c r="CP33" s="65"/>
    </row>
    <row r="34" spans="1:94" ht="26.25" customHeight="1" x14ac:dyDescent="0.25">
      <c r="A34" s="32"/>
      <c r="B34" s="74">
        <v>20</v>
      </c>
      <c r="C34" s="113" t="s">
        <v>49</v>
      </c>
      <c r="D34" s="112">
        <v>4</v>
      </c>
      <c r="E34" s="130">
        <f>D34-I34-M34-Q34-U34-Y34-AC34-AK34-AO34-AS34-AW34-BA34-BE34-BI34-1</f>
        <v>3</v>
      </c>
      <c r="F34" s="44">
        <f t="shared" si="507"/>
        <v>4500</v>
      </c>
      <c r="G34" s="116"/>
      <c r="H34" s="45">
        <f>H29*0.15</f>
        <v>18000</v>
      </c>
      <c r="I34" s="66"/>
      <c r="J34" s="67">
        <f>I34*$F$34</f>
        <v>0</v>
      </c>
      <c r="K34" s="67">
        <f>I34*$G$34</f>
        <v>0</v>
      </c>
      <c r="L34" s="45">
        <f t="shared" si="399"/>
        <v>0</v>
      </c>
      <c r="M34" s="66"/>
      <c r="N34" s="67">
        <f t="shared" ref="N34" si="595">M34*$F$34</f>
        <v>0</v>
      </c>
      <c r="O34" s="67">
        <f t="shared" ref="O34" si="596">M34*$G$34</f>
        <v>0</v>
      </c>
      <c r="P34" s="45">
        <f t="shared" si="402"/>
        <v>0</v>
      </c>
      <c r="Q34" s="66"/>
      <c r="R34" s="67">
        <f t="shared" ref="R34" si="597">Q34*$F$34</f>
        <v>0</v>
      </c>
      <c r="S34" s="67">
        <f t="shared" ref="S34" si="598">Q34*$G$34</f>
        <v>0</v>
      </c>
      <c r="T34" s="45">
        <f t="shared" si="405"/>
        <v>0</v>
      </c>
      <c r="U34" s="66"/>
      <c r="V34" s="67">
        <f t="shared" ref="V34" si="599">U34*$F$34</f>
        <v>0</v>
      </c>
      <c r="W34" s="67">
        <f t="shared" ref="W34" si="600">U34*$G$34</f>
        <v>0</v>
      </c>
      <c r="X34" s="45">
        <f t="shared" si="408"/>
        <v>0</v>
      </c>
      <c r="Y34" s="66"/>
      <c r="Z34" s="67">
        <f t="shared" ref="Z34" si="601">Y34*$F$34</f>
        <v>0</v>
      </c>
      <c r="AA34" s="67">
        <f t="shared" ref="AA34" si="602">Y34*$G$34</f>
        <v>0</v>
      </c>
      <c r="AB34" s="45">
        <f t="shared" si="411"/>
        <v>0</v>
      </c>
      <c r="AC34" s="66"/>
      <c r="AD34" s="67">
        <f t="shared" ref="AD34" si="603">AC34*$F$34</f>
        <v>0</v>
      </c>
      <c r="AE34" s="67">
        <f t="shared" ref="AE34" si="604">AC34*$G$34</f>
        <v>0</v>
      </c>
      <c r="AF34" s="45">
        <f t="shared" si="414"/>
        <v>0</v>
      </c>
      <c r="AG34" s="66"/>
      <c r="AH34" s="67">
        <f t="shared" ref="AH34" si="605">AG34*$F$34</f>
        <v>0</v>
      </c>
      <c r="AI34" s="67">
        <f t="shared" ref="AI34" si="606">AG34*$G$34</f>
        <v>0</v>
      </c>
      <c r="AJ34" s="45">
        <f t="shared" si="417"/>
        <v>0</v>
      </c>
      <c r="AK34" s="66"/>
      <c r="AL34" s="67">
        <f t="shared" ref="AL34" si="607">AK34*$F$34</f>
        <v>0</v>
      </c>
      <c r="AM34" s="67">
        <f t="shared" ref="AM34" si="608">AK34*$G$34</f>
        <v>0</v>
      </c>
      <c r="AN34" s="45">
        <f t="shared" si="420"/>
        <v>0</v>
      </c>
      <c r="AO34" s="66"/>
      <c r="AP34" s="67">
        <f t="shared" ref="AP34" si="609">AO34*$F$34</f>
        <v>0</v>
      </c>
      <c r="AQ34" s="67">
        <f t="shared" ref="AQ34" si="610">AO34*$G$34</f>
        <v>0</v>
      </c>
      <c r="AR34" s="45">
        <f t="shared" si="423"/>
        <v>0</v>
      </c>
      <c r="AS34" s="66"/>
      <c r="AT34" s="67">
        <f t="shared" ref="AT34" si="611">AS34*$F$34</f>
        <v>0</v>
      </c>
      <c r="AU34" s="67">
        <f t="shared" ref="AU34" si="612">AS34*$G$34</f>
        <v>0</v>
      </c>
      <c r="AV34" s="45">
        <f t="shared" si="426"/>
        <v>0</v>
      </c>
      <c r="AW34" s="66"/>
      <c r="AX34" s="67">
        <f t="shared" ref="AX34" si="613">AW34*$F$34</f>
        <v>0</v>
      </c>
      <c r="AY34" s="67">
        <f t="shared" ref="AY34" si="614">AW34*$G$34</f>
        <v>0</v>
      </c>
      <c r="AZ34" s="45">
        <f t="shared" si="429"/>
        <v>0</v>
      </c>
      <c r="BA34" s="66"/>
      <c r="BB34" s="67">
        <f t="shared" ref="BB34" si="615">BA34*$F$34</f>
        <v>0</v>
      </c>
      <c r="BC34" s="67">
        <f t="shared" ref="BC34" si="616">BA34*$G$34</f>
        <v>0</v>
      </c>
      <c r="BD34" s="45">
        <f t="shared" si="432"/>
        <v>0</v>
      </c>
      <c r="BE34" s="66"/>
      <c r="BF34" s="44">
        <f t="shared" si="530"/>
        <v>0</v>
      </c>
      <c r="BG34" s="44">
        <f t="shared" si="531"/>
        <v>0</v>
      </c>
      <c r="BH34" s="45">
        <f t="shared" si="532"/>
        <v>0</v>
      </c>
      <c r="BI34" s="66"/>
      <c r="BJ34" s="44">
        <f t="shared" si="533"/>
        <v>0</v>
      </c>
      <c r="BK34" s="44"/>
      <c r="BL34" s="45">
        <f t="shared" si="534"/>
        <v>0</v>
      </c>
      <c r="BM34" s="66"/>
      <c r="BN34" s="67">
        <f t="shared" si="438"/>
        <v>0</v>
      </c>
      <c r="BO34" s="67"/>
      <c r="BP34" s="45">
        <f t="shared" si="535"/>
        <v>0</v>
      </c>
      <c r="BQ34" s="66"/>
      <c r="BR34" s="44">
        <f t="shared" si="440"/>
        <v>0</v>
      </c>
      <c r="BS34" s="67"/>
      <c r="BT34" s="45">
        <f t="shared" si="441"/>
        <v>0</v>
      </c>
      <c r="BU34" s="66"/>
      <c r="BV34" s="44">
        <f t="shared" si="442"/>
        <v>0</v>
      </c>
      <c r="BW34" s="67"/>
      <c r="BX34" s="45">
        <f t="shared" si="443"/>
        <v>0</v>
      </c>
      <c r="BY34" s="66"/>
      <c r="BZ34" s="44">
        <f t="shared" si="444"/>
        <v>0</v>
      </c>
      <c r="CA34" s="67"/>
      <c r="CB34" s="45">
        <f t="shared" si="445"/>
        <v>0</v>
      </c>
      <c r="CC34" s="66"/>
      <c r="CD34" s="44">
        <f t="shared" si="536"/>
        <v>0</v>
      </c>
      <c r="CE34" s="67"/>
      <c r="CF34" s="45">
        <f t="shared" si="446"/>
        <v>0</v>
      </c>
      <c r="CG34" s="136"/>
      <c r="CH34" s="91">
        <f t="shared" si="537"/>
        <v>0</v>
      </c>
      <c r="CI34" s="47">
        <f t="shared" si="538"/>
        <v>0</v>
      </c>
      <c r="CJ34" s="47">
        <f t="shared" si="449"/>
        <v>0</v>
      </c>
      <c r="CK34" s="48">
        <f t="shared" si="211"/>
        <v>0</v>
      </c>
      <c r="CL34" s="49">
        <f t="shared" si="450"/>
        <v>4</v>
      </c>
      <c r="CM34" s="50">
        <f t="shared" si="451"/>
        <v>18000</v>
      </c>
      <c r="CO34" s="65"/>
      <c r="CP34" s="65"/>
    </row>
    <row r="35" spans="1:94" ht="26.25" customHeight="1" x14ac:dyDescent="0.25">
      <c r="A35" s="32"/>
      <c r="B35" s="74">
        <v>21</v>
      </c>
      <c r="C35" s="113" t="s">
        <v>50</v>
      </c>
      <c r="D35" s="112">
        <v>4</v>
      </c>
      <c r="E35" s="130">
        <f>D35-I35-M35-Q35-U35-Y35-AC35-AK35-AO35-AS35-AW35-BA35-BE35-BI35-1</f>
        <v>3</v>
      </c>
      <c r="F35" s="44">
        <f t="shared" si="507"/>
        <v>3300</v>
      </c>
      <c r="G35" s="116"/>
      <c r="H35" s="45">
        <f>H29*0.11</f>
        <v>13200</v>
      </c>
      <c r="I35" s="66"/>
      <c r="J35" s="67">
        <f>I35*$F$35</f>
        <v>0</v>
      </c>
      <c r="K35" s="67">
        <f>I35*$G$35</f>
        <v>0</v>
      </c>
      <c r="L35" s="45">
        <f t="shared" si="399"/>
        <v>0</v>
      </c>
      <c r="M35" s="66"/>
      <c r="N35" s="67">
        <f t="shared" ref="N35" si="617">M35*$F$35</f>
        <v>0</v>
      </c>
      <c r="O35" s="67">
        <f t="shared" ref="O35" si="618">M35*$G$35</f>
        <v>0</v>
      </c>
      <c r="P35" s="45">
        <f t="shared" si="402"/>
        <v>0</v>
      </c>
      <c r="Q35" s="66"/>
      <c r="R35" s="67">
        <f t="shared" ref="R35" si="619">Q35*$F$35</f>
        <v>0</v>
      </c>
      <c r="S35" s="67">
        <f t="shared" ref="S35" si="620">Q35*$G$35</f>
        <v>0</v>
      </c>
      <c r="T35" s="45">
        <f t="shared" si="405"/>
        <v>0</v>
      </c>
      <c r="U35" s="66"/>
      <c r="V35" s="67">
        <f t="shared" ref="V35" si="621">U35*$F$35</f>
        <v>0</v>
      </c>
      <c r="W35" s="67">
        <f t="shared" ref="W35" si="622">U35*$G$35</f>
        <v>0</v>
      </c>
      <c r="X35" s="45">
        <f t="shared" si="408"/>
        <v>0</v>
      </c>
      <c r="Y35" s="66"/>
      <c r="Z35" s="67">
        <f t="shared" ref="Z35" si="623">Y35*$F$35</f>
        <v>0</v>
      </c>
      <c r="AA35" s="67">
        <f t="shared" ref="AA35" si="624">Y35*$G$35</f>
        <v>0</v>
      </c>
      <c r="AB35" s="45">
        <f t="shared" si="411"/>
        <v>0</v>
      </c>
      <c r="AC35" s="66"/>
      <c r="AD35" s="67">
        <f t="shared" ref="AD35" si="625">AC35*$F$35</f>
        <v>0</v>
      </c>
      <c r="AE35" s="67">
        <f t="shared" ref="AE35" si="626">AC35*$G$35</f>
        <v>0</v>
      </c>
      <c r="AF35" s="45">
        <f t="shared" si="414"/>
        <v>0</v>
      </c>
      <c r="AG35" s="66"/>
      <c r="AH35" s="67">
        <f t="shared" ref="AH35" si="627">AG35*$F$35</f>
        <v>0</v>
      </c>
      <c r="AI35" s="67">
        <f t="shared" ref="AI35" si="628">AG35*$G$35</f>
        <v>0</v>
      </c>
      <c r="AJ35" s="45">
        <f t="shared" si="417"/>
        <v>0</v>
      </c>
      <c r="AK35" s="66"/>
      <c r="AL35" s="67">
        <f t="shared" ref="AL35" si="629">AK35*$F$35</f>
        <v>0</v>
      </c>
      <c r="AM35" s="67">
        <f t="shared" ref="AM35" si="630">AK35*$G$35</f>
        <v>0</v>
      </c>
      <c r="AN35" s="45">
        <f t="shared" si="420"/>
        <v>0</v>
      </c>
      <c r="AO35" s="66"/>
      <c r="AP35" s="67">
        <f t="shared" ref="AP35" si="631">AO35*$F$35</f>
        <v>0</v>
      </c>
      <c r="AQ35" s="67">
        <f t="shared" ref="AQ35" si="632">AO35*$G$35</f>
        <v>0</v>
      </c>
      <c r="AR35" s="45">
        <f t="shared" si="423"/>
        <v>0</v>
      </c>
      <c r="AS35" s="66"/>
      <c r="AT35" s="67">
        <f t="shared" ref="AT35" si="633">AS35*$F$35</f>
        <v>0</v>
      </c>
      <c r="AU35" s="67">
        <f t="shared" ref="AU35" si="634">AS35*$G$35</f>
        <v>0</v>
      </c>
      <c r="AV35" s="45">
        <f t="shared" si="426"/>
        <v>0</v>
      </c>
      <c r="AW35" s="66"/>
      <c r="AX35" s="67">
        <f t="shared" ref="AX35" si="635">AW35*$F$35</f>
        <v>0</v>
      </c>
      <c r="AY35" s="67">
        <f t="shared" ref="AY35" si="636">AW35*$G$35</f>
        <v>0</v>
      </c>
      <c r="AZ35" s="45">
        <f t="shared" si="429"/>
        <v>0</v>
      </c>
      <c r="BA35" s="66"/>
      <c r="BB35" s="67">
        <f t="shared" ref="BB35" si="637">BA35*$F$35</f>
        <v>0</v>
      </c>
      <c r="BC35" s="67">
        <f t="shared" ref="BC35" si="638">BA35*$G$35</f>
        <v>0</v>
      </c>
      <c r="BD35" s="45">
        <f t="shared" si="432"/>
        <v>0</v>
      </c>
      <c r="BE35" s="66"/>
      <c r="BF35" s="44">
        <f t="shared" si="530"/>
        <v>0</v>
      </c>
      <c r="BG35" s="44">
        <f t="shared" si="531"/>
        <v>0</v>
      </c>
      <c r="BH35" s="45">
        <f t="shared" si="532"/>
        <v>0</v>
      </c>
      <c r="BI35" s="66"/>
      <c r="BJ35" s="44">
        <f t="shared" si="533"/>
        <v>0</v>
      </c>
      <c r="BK35" s="44"/>
      <c r="BL35" s="45">
        <f t="shared" si="534"/>
        <v>0</v>
      </c>
      <c r="BM35" s="66"/>
      <c r="BN35" s="67">
        <f t="shared" si="438"/>
        <v>0</v>
      </c>
      <c r="BO35" s="67"/>
      <c r="BP35" s="45">
        <f t="shared" si="535"/>
        <v>0</v>
      </c>
      <c r="BQ35" s="66"/>
      <c r="BR35" s="44">
        <f t="shared" si="440"/>
        <v>0</v>
      </c>
      <c r="BS35" s="67"/>
      <c r="BT35" s="45">
        <f t="shared" si="441"/>
        <v>0</v>
      </c>
      <c r="BU35" s="66"/>
      <c r="BV35" s="44">
        <f t="shared" si="442"/>
        <v>0</v>
      </c>
      <c r="BW35" s="67"/>
      <c r="BX35" s="45">
        <f t="shared" si="443"/>
        <v>0</v>
      </c>
      <c r="BY35" s="66"/>
      <c r="BZ35" s="44">
        <f t="shared" si="444"/>
        <v>0</v>
      </c>
      <c r="CA35" s="67"/>
      <c r="CB35" s="45">
        <f t="shared" si="445"/>
        <v>0</v>
      </c>
      <c r="CC35" s="66"/>
      <c r="CD35" s="44">
        <f t="shared" si="536"/>
        <v>0</v>
      </c>
      <c r="CE35" s="67"/>
      <c r="CF35" s="45">
        <f t="shared" si="446"/>
        <v>0</v>
      </c>
      <c r="CG35" s="136"/>
      <c r="CH35" s="91">
        <f t="shared" si="537"/>
        <v>0</v>
      </c>
      <c r="CI35" s="47">
        <f t="shared" si="538"/>
        <v>0</v>
      </c>
      <c r="CJ35" s="47">
        <f t="shared" si="449"/>
        <v>0</v>
      </c>
      <c r="CK35" s="48">
        <f t="shared" ref="CK35:CK57" si="639">SUM(CI35:CJ35)</f>
        <v>0</v>
      </c>
      <c r="CL35" s="49">
        <f t="shared" si="450"/>
        <v>4</v>
      </c>
      <c r="CM35" s="50">
        <f t="shared" si="451"/>
        <v>13200</v>
      </c>
      <c r="CO35" s="65"/>
      <c r="CP35" s="65"/>
    </row>
    <row r="36" spans="1:94" ht="26.25" customHeight="1" x14ac:dyDescent="0.25">
      <c r="A36" s="32"/>
      <c r="B36" s="74">
        <v>22</v>
      </c>
      <c r="C36" s="113" t="s">
        <v>51</v>
      </c>
      <c r="D36" s="112">
        <v>4</v>
      </c>
      <c r="E36" s="130">
        <f t="shared" ref="E36" si="640">D36-I36-M36-Q36-U36-Y36-AC36-AK36-AO36-AS36-AW36-BA36-BE36-BI36</f>
        <v>4</v>
      </c>
      <c r="F36" s="44">
        <f t="shared" si="507"/>
        <v>2100</v>
      </c>
      <c r="G36" s="116"/>
      <c r="H36" s="45">
        <f>H29*0.07</f>
        <v>8400</v>
      </c>
      <c r="I36" s="66"/>
      <c r="J36" s="67">
        <f>I36*$F$36</f>
        <v>0</v>
      </c>
      <c r="K36" s="67">
        <f>I36*$G$36</f>
        <v>0</v>
      </c>
      <c r="L36" s="45">
        <f t="shared" si="399"/>
        <v>0</v>
      </c>
      <c r="M36" s="66"/>
      <c r="N36" s="67">
        <f t="shared" ref="N36" si="641">M36*$F$36</f>
        <v>0</v>
      </c>
      <c r="O36" s="67">
        <f t="shared" ref="O36" si="642">M36*$G$36</f>
        <v>0</v>
      </c>
      <c r="P36" s="45">
        <f t="shared" si="402"/>
        <v>0</v>
      </c>
      <c r="Q36" s="66"/>
      <c r="R36" s="67">
        <f t="shared" ref="R36" si="643">Q36*$F$36</f>
        <v>0</v>
      </c>
      <c r="S36" s="67">
        <f t="shared" ref="S36" si="644">Q36*$G$36</f>
        <v>0</v>
      </c>
      <c r="T36" s="45">
        <f t="shared" si="405"/>
        <v>0</v>
      </c>
      <c r="U36" s="66"/>
      <c r="V36" s="67">
        <f t="shared" ref="V36" si="645">U36*$F$36</f>
        <v>0</v>
      </c>
      <c r="W36" s="67">
        <f t="shared" ref="W36" si="646">U36*$G$36</f>
        <v>0</v>
      </c>
      <c r="X36" s="45">
        <f t="shared" si="408"/>
        <v>0</v>
      </c>
      <c r="Y36" s="66"/>
      <c r="Z36" s="67">
        <f t="shared" ref="Z36" si="647">Y36*$F$36</f>
        <v>0</v>
      </c>
      <c r="AA36" s="67">
        <f t="shared" ref="AA36" si="648">Y36*$G$36</f>
        <v>0</v>
      </c>
      <c r="AB36" s="45">
        <f t="shared" si="411"/>
        <v>0</v>
      </c>
      <c r="AC36" s="66"/>
      <c r="AD36" s="67">
        <f t="shared" ref="AD36" si="649">AC36*$F$36</f>
        <v>0</v>
      </c>
      <c r="AE36" s="67">
        <f t="shared" ref="AE36" si="650">AC36*$G$36</f>
        <v>0</v>
      </c>
      <c r="AF36" s="45">
        <f t="shared" si="414"/>
        <v>0</v>
      </c>
      <c r="AG36" s="66"/>
      <c r="AH36" s="67">
        <f t="shared" ref="AH36" si="651">AG36*$F$36</f>
        <v>0</v>
      </c>
      <c r="AI36" s="67">
        <f t="shared" ref="AI36" si="652">AG36*$G$36</f>
        <v>0</v>
      </c>
      <c r="AJ36" s="45">
        <f t="shared" si="417"/>
        <v>0</v>
      </c>
      <c r="AK36" s="66"/>
      <c r="AL36" s="67">
        <f t="shared" ref="AL36" si="653">AK36*$F$36</f>
        <v>0</v>
      </c>
      <c r="AM36" s="67">
        <f t="shared" ref="AM36" si="654">AK36*$G$36</f>
        <v>0</v>
      </c>
      <c r="AN36" s="45">
        <f t="shared" si="420"/>
        <v>0</v>
      </c>
      <c r="AO36" s="66"/>
      <c r="AP36" s="67">
        <f t="shared" ref="AP36" si="655">AO36*$F$36</f>
        <v>0</v>
      </c>
      <c r="AQ36" s="67">
        <f t="shared" ref="AQ36" si="656">AO36*$G$36</f>
        <v>0</v>
      </c>
      <c r="AR36" s="45">
        <f t="shared" si="423"/>
        <v>0</v>
      </c>
      <c r="AS36" s="66"/>
      <c r="AT36" s="67">
        <f t="shared" ref="AT36" si="657">AS36*$F$36</f>
        <v>0</v>
      </c>
      <c r="AU36" s="67">
        <f t="shared" ref="AU36" si="658">AS36*$G$36</f>
        <v>0</v>
      </c>
      <c r="AV36" s="45">
        <f t="shared" si="426"/>
        <v>0</v>
      </c>
      <c r="AW36" s="66"/>
      <c r="AX36" s="67">
        <f t="shared" ref="AX36" si="659">AW36*$F$36</f>
        <v>0</v>
      </c>
      <c r="AY36" s="67">
        <f t="shared" ref="AY36" si="660">AW36*$G$36</f>
        <v>0</v>
      </c>
      <c r="AZ36" s="45">
        <f t="shared" si="429"/>
        <v>0</v>
      </c>
      <c r="BA36" s="66"/>
      <c r="BB36" s="67">
        <f t="shared" ref="BB36" si="661">BA36*$F$36</f>
        <v>0</v>
      </c>
      <c r="BC36" s="67">
        <f t="shared" ref="BC36" si="662">BA36*$G$36</f>
        <v>0</v>
      </c>
      <c r="BD36" s="45">
        <f t="shared" si="432"/>
        <v>0</v>
      </c>
      <c r="BE36" s="66"/>
      <c r="BF36" s="44">
        <f t="shared" si="530"/>
        <v>0</v>
      </c>
      <c r="BG36" s="44">
        <f t="shared" si="531"/>
        <v>0</v>
      </c>
      <c r="BH36" s="45">
        <f t="shared" si="532"/>
        <v>0</v>
      </c>
      <c r="BI36" s="66"/>
      <c r="BJ36" s="44">
        <f t="shared" si="533"/>
        <v>0</v>
      </c>
      <c r="BK36" s="44"/>
      <c r="BL36" s="45">
        <f t="shared" si="534"/>
        <v>0</v>
      </c>
      <c r="BM36" s="66"/>
      <c r="BN36" s="67">
        <f t="shared" si="438"/>
        <v>0</v>
      </c>
      <c r="BO36" s="67"/>
      <c r="BP36" s="45">
        <f t="shared" si="535"/>
        <v>0</v>
      </c>
      <c r="BQ36" s="66"/>
      <c r="BR36" s="44">
        <f t="shared" si="440"/>
        <v>0</v>
      </c>
      <c r="BS36" s="67"/>
      <c r="BT36" s="45">
        <f t="shared" si="441"/>
        <v>0</v>
      </c>
      <c r="BU36" s="66"/>
      <c r="BV36" s="44">
        <f t="shared" si="442"/>
        <v>0</v>
      </c>
      <c r="BW36" s="67"/>
      <c r="BX36" s="45">
        <f t="shared" si="443"/>
        <v>0</v>
      </c>
      <c r="BY36" s="66"/>
      <c r="BZ36" s="44">
        <f t="shared" si="444"/>
        <v>0</v>
      </c>
      <c r="CA36" s="67"/>
      <c r="CB36" s="45">
        <f t="shared" si="445"/>
        <v>0</v>
      </c>
      <c r="CC36" s="66"/>
      <c r="CD36" s="44">
        <f t="shared" si="536"/>
        <v>0</v>
      </c>
      <c r="CE36" s="67"/>
      <c r="CF36" s="45">
        <f t="shared" si="446"/>
        <v>0</v>
      </c>
      <c r="CG36" s="136"/>
      <c r="CH36" s="91">
        <f t="shared" si="537"/>
        <v>0</v>
      </c>
      <c r="CI36" s="47">
        <f t="shared" si="538"/>
        <v>0</v>
      </c>
      <c r="CJ36" s="47">
        <f t="shared" si="449"/>
        <v>0</v>
      </c>
      <c r="CK36" s="48">
        <f t="shared" si="639"/>
        <v>0</v>
      </c>
      <c r="CL36" s="49">
        <f t="shared" si="450"/>
        <v>4</v>
      </c>
      <c r="CM36" s="50">
        <f t="shared" si="451"/>
        <v>8400</v>
      </c>
      <c r="CO36" s="65"/>
      <c r="CP36" s="65"/>
    </row>
    <row r="37" spans="1:94" ht="26.25" customHeight="1" x14ac:dyDescent="0.25">
      <c r="A37" s="32"/>
      <c r="B37" s="74">
        <v>23</v>
      </c>
      <c r="C37" s="113" t="s">
        <v>52</v>
      </c>
      <c r="D37" s="112">
        <v>4</v>
      </c>
      <c r="E37" s="130">
        <f>D37-I37-M37-Q37-U37-Y37-AC37-AK37-AO37-AS37-AW37-BA37-BE37-BI37</f>
        <v>4</v>
      </c>
      <c r="F37" s="44">
        <f t="shared" si="507"/>
        <v>2100</v>
      </c>
      <c r="G37" s="116"/>
      <c r="H37" s="45">
        <f>H29*0.07</f>
        <v>8400</v>
      </c>
      <c r="I37" s="66"/>
      <c r="J37" s="67">
        <f>I37*$F$37</f>
        <v>0</v>
      </c>
      <c r="K37" s="67">
        <f>I37*$G$37</f>
        <v>0</v>
      </c>
      <c r="L37" s="45">
        <f>SUM(J37:K37)</f>
        <v>0</v>
      </c>
      <c r="M37" s="66"/>
      <c r="N37" s="67">
        <f t="shared" ref="N37" si="663">M37*$F$37</f>
        <v>0</v>
      </c>
      <c r="O37" s="67">
        <f t="shared" ref="O37" si="664">M37*$G$37</f>
        <v>0</v>
      </c>
      <c r="P37" s="45">
        <f t="shared" si="402"/>
        <v>0</v>
      </c>
      <c r="Q37" s="66"/>
      <c r="R37" s="67">
        <f t="shared" ref="R37" si="665">Q37*$F$37</f>
        <v>0</v>
      </c>
      <c r="S37" s="67">
        <f t="shared" ref="S37" si="666">Q37*$G$37</f>
        <v>0</v>
      </c>
      <c r="T37" s="45">
        <f t="shared" si="405"/>
        <v>0</v>
      </c>
      <c r="U37" s="66"/>
      <c r="V37" s="67">
        <f t="shared" ref="V37" si="667">U37*$F$37</f>
        <v>0</v>
      </c>
      <c r="W37" s="67">
        <f t="shared" ref="W37" si="668">U37*$G$37</f>
        <v>0</v>
      </c>
      <c r="X37" s="45">
        <f t="shared" si="408"/>
        <v>0</v>
      </c>
      <c r="Y37" s="66"/>
      <c r="Z37" s="67">
        <f t="shared" ref="Z37" si="669">Y37*$F$37</f>
        <v>0</v>
      </c>
      <c r="AA37" s="67">
        <f t="shared" ref="AA37" si="670">Y37*$G$37</f>
        <v>0</v>
      </c>
      <c r="AB37" s="45">
        <f t="shared" si="411"/>
        <v>0</v>
      </c>
      <c r="AC37" s="66"/>
      <c r="AD37" s="67">
        <f t="shared" ref="AD37" si="671">AC37*$F$37</f>
        <v>0</v>
      </c>
      <c r="AE37" s="67">
        <f t="shared" ref="AE37" si="672">AC37*$G$37</f>
        <v>0</v>
      </c>
      <c r="AF37" s="45">
        <f t="shared" si="414"/>
        <v>0</v>
      </c>
      <c r="AG37" s="66"/>
      <c r="AH37" s="67">
        <f t="shared" ref="AH37" si="673">AG37*$F$37</f>
        <v>0</v>
      </c>
      <c r="AI37" s="67">
        <f t="shared" ref="AI37" si="674">AG37*$G$37</f>
        <v>0</v>
      </c>
      <c r="AJ37" s="45">
        <f t="shared" si="417"/>
        <v>0</v>
      </c>
      <c r="AK37" s="66"/>
      <c r="AL37" s="67">
        <f t="shared" ref="AL37" si="675">AK37*$F$37</f>
        <v>0</v>
      </c>
      <c r="AM37" s="67">
        <f t="shared" ref="AM37" si="676">AK37*$G$37</f>
        <v>0</v>
      </c>
      <c r="AN37" s="45">
        <f t="shared" si="420"/>
        <v>0</v>
      </c>
      <c r="AO37" s="66"/>
      <c r="AP37" s="67">
        <f t="shared" ref="AP37" si="677">AO37*$F$37</f>
        <v>0</v>
      </c>
      <c r="AQ37" s="67">
        <f t="shared" ref="AQ37" si="678">AO37*$G$37</f>
        <v>0</v>
      </c>
      <c r="AR37" s="45">
        <f t="shared" si="423"/>
        <v>0</v>
      </c>
      <c r="AS37" s="66"/>
      <c r="AT37" s="67">
        <f t="shared" ref="AT37" si="679">AS37*$F$37</f>
        <v>0</v>
      </c>
      <c r="AU37" s="67">
        <f t="shared" ref="AU37" si="680">AS37*$G$37</f>
        <v>0</v>
      </c>
      <c r="AV37" s="45">
        <f t="shared" si="426"/>
        <v>0</v>
      </c>
      <c r="AW37" s="66"/>
      <c r="AX37" s="67">
        <f t="shared" ref="AX37" si="681">AW37*$F$37</f>
        <v>0</v>
      </c>
      <c r="AY37" s="67">
        <f t="shared" ref="AY37" si="682">AW37*$G$37</f>
        <v>0</v>
      </c>
      <c r="AZ37" s="45">
        <f t="shared" si="429"/>
        <v>0</v>
      </c>
      <c r="BA37" s="66"/>
      <c r="BB37" s="67">
        <f t="shared" ref="BB37" si="683">BA37*$F$37</f>
        <v>0</v>
      </c>
      <c r="BC37" s="67">
        <f t="shared" ref="BC37" si="684">BA37*$G$37</f>
        <v>0</v>
      </c>
      <c r="BD37" s="45">
        <f t="shared" si="432"/>
        <v>0</v>
      </c>
      <c r="BE37" s="66"/>
      <c r="BF37" s="44">
        <f t="shared" si="530"/>
        <v>0</v>
      </c>
      <c r="BG37" s="44">
        <f t="shared" si="531"/>
        <v>0</v>
      </c>
      <c r="BH37" s="45">
        <f t="shared" si="532"/>
        <v>0</v>
      </c>
      <c r="BI37" s="66"/>
      <c r="BJ37" s="44">
        <f t="shared" si="533"/>
        <v>0</v>
      </c>
      <c r="BK37" s="44"/>
      <c r="BL37" s="45">
        <f t="shared" si="534"/>
        <v>0</v>
      </c>
      <c r="BM37" s="66"/>
      <c r="BN37" s="67">
        <f t="shared" si="438"/>
        <v>0</v>
      </c>
      <c r="BO37" s="67"/>
      <c r="BP37" s="45">
        <f t="shared" si="535"/>
        <v>0</v>
      </c>
      <c r="BQ37" s="66"/>
      <c r="BR37" s="44">
        <f t="shared" si="440"/>
        <v>0</v>
      </c>
      <c r="BS37" s="67"/>
      <c r="BT37" s="45">
        <f t="shared" si="441"/>
        <v>0</v>
      </c>
      <c r="BU37" s="66"/>
      <c r="BV37" s="44">
        <f t="shared" si="442"/>
        <v>0</v>
      </c>
      <c r="BW37" s="67"/>
      <c r="BX37" s="45">
        <f t="shared" si="443"/>
        <v>0</v>
      </c>
      <c r="BY37" s="66"/>
      <c r="BZ37" s="44">
        <f t="shared" si="444"/>
        <v>0</v>
      </c>
      <c r="CA37" s="67"/>
      <c r="CB37" s="45">
        <f t="shared" si="445"/>
        <v>0</v>
      </c>
      <c r="CC37" s="66"/>
      <c r="CD37" s="44">
        <f t="shared" si="536"/>
        <v>0</v>
      </c>
      <c r="CE37" s="67"/>
      <c r="CF37" s="45">
        <f t="shared" si="446"/>
        <v>0</v>
      </c>
      <c r="CG37" s="136"/>
      <c r="CH37" s="91">
        <f t="shared" si="537"/>
        <v>0</v>
      </c>
      <c r="CI37" s="47">
        <f t="shared" si="538"/>
        <v>0</v>
      </c>
      <c r="CJ37" s="47">
        <f t="shared" si="449"/>
        <v>0</v>
      </c>
      <c r="CK37" s="48">
        <f t="shared" si="639"/>
        <v>0</v>
      </c>
      <c r="CL37" s="49">
        <f t="shared" si="450"/>
        <v>4</v>
      </c>
      <c r="CM37" s="50">
        <f t="shared" si="451"/>
        <v>8400</v>
      </c>
      <c r="CO37" s="65"/>
      <c r="CP37" s="65"/>
    </row>
    <row r="38" spans="1:94" ht="26.25" customHeight="1" x14ac:dyDescent="0.25">
      <c r="A38" s="32"/>
      <c r="B38" s="74">
        <v>24</v>
      </c>
      <c r="C38" s="113" t="s">
        <v>53</v>
      </c>
      <c r="D38" s="112">
        <v>4</v>
      </c>
      <c r="E38" s="130">
        <f>D38-I38-M38-Q38-U38-Y38-AC38-AK38-AO38-AS38-AW38-BA38-BE38-BI38</f>
        <v>4</v>
      </c>
      <c r="F38" s="44">
        <f t="shared" si="507"/>
        <v>6000</v>
      </c>
      <c r="G38" s="116"/>
      <c r="H38" s="45">
        <f>H29*0.2</f>
        <v>24000</v>
      </c>
      <c r="I38" s="66"/>
      <c r="J38" s="67">
        <f>I38*$F$38</f>
        <v>0</v>
      </c>
      <c r="K38" s="67">
        <f>I38*$G$38</f>
        <v>0</v>
      </c>
      <c r="L38" s="45">
        <f t="shared" ref="L38:L40" si="685">SUM(J38:K38)</f>
        <v>0</v>
      </c>
      <c r="M38" s="66"/>
      <c r="N38" s="67">
        <f t="shared" ref="N38" si="686">M38*$F$38</f>
        <v>0</v>
      </c>
      <c r="O38" s="67">
        <f t="shared" ref="O38" si="687">M38*$G$38</f>
        <v>0</v>
      </c>
      <c r="P38" s="45">
        <f t="shared" si="402"/>
        <v>0</v>
      </c>
      <c r="Q38" s="66"/>
      <c r="R38" s="67">
        <f t="shared" ref="R38" si="688">Q38*$F$38</f>
        <v>0</v>
      </c>
      <c r="S38" s="67">
        <f t="shared" ref="S38" si="689">Q38*$G$38</f>
        <v>0</v>
      </c>
      <c r="T38" s="45">
        <f t="shared" si="405"/>
        <v>0</v>
      </c>
      <c r="U38" s="66"/>
      <c r="V38" s="67">
        <f t="shared" ref="V38" si="690">U38*$F$38</f>
        <v>0</v>
      </c>
      <c r="W38" s="67">
        <f t="shared" ref="W38" si="691">U38*$G$38</f>
        <v>0</v>
      </c>
      <c r="X38" s="45">
        <f t="shared" si="408"/>
        <v>0</v>
      </c>
      <c r="Y38" s="66"/>
      <c r="Z38" s="67">
        <f t="shared" ref="Z38" si="692">Y38*$F$38</f>
        <v>0</v>
      </c>
      <c r="AA38" s="67">
        <f t="shared" ref="AA38" si="693">Y38*$G$38</f>
        <v>0</v>
      </c>
      <c r="AB38" s="45">
        <f t="shared" si="411"/>
        <v>0</v>
      </c>
      <c r="AC38" s="66"/>
      <c r="AD38" s="67">
        <f t="shared" ref="AD38" si="694">AC38*$F$38</f>
        <v>0</v>
      </c>
      <c r="AE38" s="67">
        <f t="shared" ref="AE38" si="695">AC38*$G$38</f>
        <v>0</v>
      </c>
      <c r="AF38" s="45">
        <f t="shared" si="414"/>
        <v>0</v>
      </c>
      <c r="AG38" s="66"/>
      <c r="AH38" s="67">
        <f t="shared" ref="AH38" si="696">AG38*$F$38</f>
        <v>0</v>
      </c>
      <c r="AI38" s="67">
        <f t="shared" ref="AI38" si="697">AG38*$G$38</f>
        <v>0</v>
      </c>
      <c r="AJ38" s="45">
        <f t="shared" si="417"/>
        <v>0</v>
      </c>
      <c r="AK38" s="66"/>
      <c r="AL38" s="67">
        <f t="shared" ref="AL38" si="698">AK38*$F$38</f>
        <v>0</v>
      </c>
      <c r="AM38" s="67">
        <f t="shared" ref="AM38" si="699">AK38*$G$38</f>
        <v>0</v>
      </c>
      <c r="AN38" s="45">
        <f t="shared" si="420"/>
        <v>0</v>
      </c>
      <c r="AO38" s="66"/>
      <c r="AP38" s="67">
        <f t="shared" ref="AP38" si="700">AO38*$F$38</f>
        <v>0</v>
      </c>
      <c r="AQ38" s="67">
        <f t="shared" ref="AQ38" si="701">AO38*$G$38</f>
        <v>0</v>
      </c>
      <c r="AR38" s="45">
        <f t="shared" si="423"/>
        <v>0</v>
      </c>
      <c r="AS38" s="66"/>
      <c r="AT38" s="67">
        <f t="shared" ref="AT38" si="702">AS38*$F$38</f>
        <v>0</v>
      </c>
      <c r="AU38" s="67">
        <f t="shared" ref="AU38" si="703">AS38*$G$38</f>
        <v>0</v>
      </c>
      <c r="AV38" s="45">
        <f t="shared" si="426"/>
        <v>0</v>
      </c>
      <c r="AW38" s="66"/>
      <c r="AX38" s="67">
        <f t="shared" ref="AX38" si="704">AW38*$F$38</f>
        <v>0</v>
      </c>
      <c r="AY38" s="67">
        <f t="shared" ref="AY38" si="705">AW38*$G$38</f>
        <v>0</v>
      </c>
      <c r="AZ38" s="45">
        <f t="shared" si="429"/>
        <v>0</v>
      </c>
      <c r="BA38" s="66"/>
      <c r="BB38" s="67">
        <f t="shared" ref="BB38" si="706">BA38*$F$38</f>
        <v>0</v>
      </c>
      <c r="BC38" s="67">
        <f t="shared" ref="BC38" si="707">BA38*$G$38</f>
        <v>0</v>
      </c>
      <c r="BD38" s="45">
        <f t="shared" si="432"/>
        <v>0</v>
      </c>
      <c r="BE38" s="66"/>
      <c r="BF38" s="44">
        <f t="shared" si="530"/>
        <v>0</v>
      </c>
      <c r="BG38" s="44">
        <f t="shared" si="531"/>
        <v>0</v>
      </c>
      <c r="BH38" s="45">
        <f t="shared" si="532"/>
        <v>0</v>
      </c>
      <c r="BI38" s="66"/>
      <c r="BJ38" s="44">
        <f t="shared" si="533"/>
        <v>0</v>
      </c>
      <c r="BK38" s="44"/>
      <c r="BL38" s="45">
        <f t="shared" si="534"/>
        <v>0</v>
      </c>
      <c r="BM38" s="66"/>
      <c r="BN38" s="67">
        <f t="shared" si="438"/>
        <v>0</v>
      </c>
      <c r="BO38" s="67"/>
      <c r="BP38" s="45">
        <f t="shared" si="535"/>
        <v>0</v>
      </c>
      <c r="BQ38" s="66"/>
      <c r="BR38" s="44">
        <f t="shared" si="440"/>
        <v>0</v>
      </c>
      <c r="BS38" s="67"/>
      <c r="BT38" s="45">
        <f t="shared" si="441"/>
        <v>0</v>
      </c>
      <c r="BU38" s="66"/>
      <c r="BV38" s="44">
        <f t="shared" si="442"/>
        <v>0</v>
      </c>
      <c r="BW38" s="67"/>
      <c r="BX38" s="45">
        <f t="shared" si="443"/>
        <v>0</v>
      </c>
      <c r="BY38" s="66"/>
      <c r="BZ38" s="44">
        <f t="shared" si="444"/>
        <v>0</v>
      </c>
      <c r="CA38" s="67"/>
      <c r="CB38" s="45">
        <f t="shared" si="445"/>
        <v>0</v>
      </c>
      <c r="CC38" s="66"/>
      <c r="CD38" s="44">
        <f t="shared" si="536"/>
        <v>0</v>
      </c>
      <c r="CE38" s="67"/>
      <c r="CF38" s="45">
        <f t="shared" si="446"/>
        <v>0</v>
      </c>
      <c r="CG38" s="136"/>
      <c r="CH38" s="91">
        <f t="shared" si="537"/>
        <v>0</v>
      </c>
      <c r="CI38" s="47">
        <f t="shared" si="538"/>
        <v>0</v>
      </c>
      <c r="CJ38" s="47">
        <f t="shared" si="449"/>
        <v>0</v>
      </c>
      <c r="CK38" s="48">
        <f t="shared" si="639"/>
        <v>0</v>
      </c>
      <c r="CL38" s="49">
        <f t="shared" si="450"/>
        <v>4</v>
      </c>
      <c r="CM38" s="50">
        <f t="shared" si="451"/>
        <v>24000</v>
      </c>
      <c r="CO38" s="65"/>
      <c r="CP38" s="65"/>
    </row>
    <row r="39" spans="1:94" ht="26.25" customHeight="1" x14ac:dyDescent="0.25">
      <c r="A39" s="32"/>
      <c r="B39" s="74">
        <v>25</v>
      </c>
      <c r="C39" s="113" t="s">
        <v>54</v>
      </c>
      <c r="D39" s="112">
        <v>4</v>
      </c>
      <c r="E39" s="130">
        <f>D39-I39-M39-Q39-U39-Y39-AC39-AK39-AO39-AS39-AW39-BA39-BE39-BI39</f>
        <v>4</v>
      </c>
      <c r="F39" s="44">
        <f t="shared" si="507"/>
        <v>2100</v>
      </c>
      <c r="G39" s="116"/>
      <c r="H39" s="45">
        <f>H29*0.07</f>
        <v>8400</v>
      </c>
      <c r="I39" s="66"/>
      <c r="J39" s="67">
        <f>I39*$F$39</f>
        <v>0</v>
      </c>
      <c r="K39" s="67">
        <f>I39*$G$39</f>
        <v>0</v>
      </c>
      <c r="L39" s="45">
        <f t="shared" si="685"/>
        <v>0</v>
      </c>
      <c r="M39" s="66"/>
      <c r="N39" s="67">
        <f t="shared" ref="N39" si="708">M39*$F$39</f>
        <v>0</v>
      </c>
      <c r="O39" s="67">
        <f t="shared" ref="O39" si="709">M39*$G$39</f>
        <v>0</v>
      </c>
      <c r="P39" s="45">
        <f t="shared" si="402"/>
        <v>0</v>
      </c>
      <c r="Q39" s="66"/>
      <c r="R39" s="67">
        <f t="shared" ref="R39" si="710">Q39*$F$39</f>
        <v>0</v>
      </c>
      <c r="S39" s="67">
        <f t="shared" ref="S39" si="711">Q39*$G$39</f>
        <v>0</v>
      </c>
      <c r="T39" s="45">
        <f t="shared" si="405"/>
        <v>0</v>
      </c>
      <c r="U39" s="66"/>
      <c r="V39" s="67">
        <f t="shared" ref="V39" si="712">U39*$F$39</f>
        <v>0</v>
      </c>
      <c r="W39" s="67">
        <f t="shared" ref="W39" si="713">U39*$G$39</f>
        <v>0</v>
      </c>
      <c r="X39" s="45">
        <f t="shared" si="408"/>
        <v>0</v>
      </c>
      <c r="Y39" s="66"/>
      <c r="Z39" s="67">
        <f t="shared" ref="Z39" si="714">Y39*$F$39</f>
        <v>0</v>
      </c>
      <c r="AA39" s="67">
        <f t="shared" ref="AA39" si="715">Y39*$G$39</f>
        <v>0</v>
      </c>
      <c r="AB39" s="45">
        <f t="shared" si="411"/>
        <v>0</v>
      </c>
      <c r="AC39" s="66"/>
      <c r="AD39" s="67">
        <f t="shared" ref="AD39" si="716">AC39*$F$39</f>
        <v>0</v>
      </c>
      <c r="AE39" s="67">
        <f t="shared" ref="AE39" si="717">AC39*$G$39</f>
        <v>0</v>
      </c>
      <c r="AF39" s="45">
        <f t="shared" si="414"/>
        <v>0</v>
      </c>
      <c r="AG39" s="66"/>
      <c r="AH39" s="67">
        <f t="shared" ref="AH39" si="718">AG39*$F$39</f>
        <v>0</v>
      </c>
      <c r="AI39" s="67">
        <f t="shared" ref="AI39" si="719">AG39*$G$39</f>
        <v>0</v>
      </c>
      <c r="AJ39" s="45">
        <f t="shared" si="417"/>
        <v>0</v>
      </c>
      <c r="AK39" s="66"/>
      <c r="AL39" s="67">
        <f t="shared" ref="AL39" si="720">AK39*$F$39</f>
        <v>0</v>
      </c>
      <c r="AM39" s="67">
        <f t="shared" ref="AM39" si="721">AK39*$G$39</f>
        <v>0</v>
      </c>
      <c r="AN39" s="45">
        <f t="shared" si="420"/>
        <v>0</v>
      </c>
      <c r="AO39" s="66"/>
      <c r="AP39" s="67">
        <f t="shared" ref="AP39" si="722">AO39*$F$39</f>
        <v>0</v>
      </c>
      <c r="AQ39" s="67">
        <f t="shared" ref="AQ39" si="723">AO39*$G$39</f>
        <v>0</v>
      </c>
      <c r="AR39" s="45">
        <f t="shared" si="423"/>
        <v>0</v>
      </c>
      <c r="AS39" s="66"/>
      <c r="AT39" s="67">
        <f t="shared" ref="AT39" si="724">AS39*$F$39</f>
        <v>0</v>
      </c>
      <c r="AU39" s="67">
        <f t="shared" ref="AU39" si="725">AS39*$G$39</f>
        <v>0</v>
      </c>
      <c r="AV39" s="45">
        <f t="shared" si="426"/>
        <v>0</v>
      </c>
      <c r="AW39" s="66"/>
      <c r="AX39" s="67">
        <f t="shared" ref="AX39" si="726">AW39*$F$39</f>
        <v>0</v>
      </c>
      <c r="AY39" s="67">
        <f t="shared" ref="AY39" si="727">AW39*$G$39</f>
        <v>0</v>
      </c>
      <c r="AZ39" s="45">
        <f t="shared" si="429"/>
        <v>0</v>
      </c>
      <c r="BA39" s="66"/>
      <c r="BB39" s="67">
        <f t="shared" ref="BB39" si="728">BA39*$F$39</f>
        <v>0</v>
      </c>
      <c r="BC39" s="67">
        <f t="shared" ref="BC39" si="729">BA39*$G$39</f>
        <v>0</v>
      </c>
      <c r="BD39" s="45">
        <f t="shared" si="432"/>
        <v>0</v>
      </c>
      <c r="BE39" s="66"/>
      <c r="BF39" s="44">
        <f t="shared" si="530"/>
        <v>0</v>
      </c>
      <c r="BG39" s="44">
        <f t="shared" si="531"/>
        <v>0</v>
      </c>
      <c r="BH39" s="45">
        <f t="shared" si="532"/>
        <v>0</v>
      </c>
      <c r="BI39" s="66"/>
      <c r="BJ39" s="44">
        <f t="shared" si="533"/>
        <v>0</v>
      </c>
      <c r="BK39" s="44"/>
      <c r="BL39" s="45">
        <f t="shared" si="534"/>
        <v>0</v>
      </c>
      <c r="BM39" s="66"/>
      <c r="BN39" s="67">
        <f t="shared" si="438"/>
        <v>0</v>
      </c>
      <c r="BO39" s="67"/>
      <c r="BP39" s="45">
        <f t="shared" si="535"/>
        <v>0</v>
      </c>
      <c r="BQ39" s="66"/>
      <c r="BR39" s="44">
        <f t="shared" si="440"/>
        <v>0</v>
      </c>
      <c r="BS39" s="67"/>
      <c r="BT39" s="45">
        <f t="shared" si="441"/>
        <v>0</v>
      </c>
      <c r="BU39" s="66"/>
      <c r="BV39" s="44">
        <f t="shared" si="442"/>
        <v>0</v>
      </c>
      <c r="BW39" s="67"/>
      <c r="BX39" s="45">
        <f t="shared" si="443"/>
        <v>0</v>
      </c>
      <c r="BY39" s="66"/>
      <c r="BZ39" s="44">
        <f t="shared" si="444"/>
        <v>0</v>
      </c>
      <c r="CA39" s="67"/>
      <c r="CB39" s="45">
        <f t="shared" si="445"/>
        <v>0</v>
      </c>
      <c r="CC39" s="66"/>
      <c r="CD39" s="44">
        <f t="shared" si="536"/>
        <v>0</v>
      </c>
      <c r="CE39" s="67"/>
      <c r="CF39" s="45">
        <f t="shared" si="446"/>
        <v>0</v>
      </c>
      <c r="CG39" s="136"/>
      <c r="CH39" s="91">
        <f t="shared" si="537"/>
        <v>0</v>
      </c>
      <c r="CI39" s="47">
        <f t="shared" si="538"/>
        <v>0</v>
      </c>
      <c r="CJ39" s="47">
        <f t="shared" si="449"/>
        <v>0</v>
      </c>
      <c r="CK39" s="48">
        <f t="shared" si="639"/>
        <v>0</v>
      </c>
      <c r="CL39" s="49">
        <f t="shared" si="450"/>
        <v>4</v>
      </c>
      <c r="CM39" s="50">
        <f t="shared" si="451"/>
        <v>8400</v>
      </c>
      <c r="CO39" s="65"/>
      <c r="CP39" s="65"/>
    </row>
    <row r="40" spans="1:94" ht="26.25" customHeight="1" x14ac:dyDescent="0.25">
      <c r="A40" s="32"/>
      <c r="B40" s="74">
        <v>26</v>
      </c>
      <c r="C40" s="113" t="s">
        <v>56</v>
      </c>
      <c r="D40" s="112">
        <v>1</v>
      </c>
      <c r="E40" s="130">
        <f>D40-I40-M40-Q40-U40-Y40-AC40-AK40-AO40-AS40-AW40-BA40-BE40-BI40</f>
        <v>1</v>
      </c>
      <c r="F40" s="44">
        <f t="shared" si="507"/>
        <v>6000</v>
      </c>
      <c r="G40" s="116"/>
      <c r="H40" s="45">
        <f>H29*0.05</f>
        <v>6000</v>
      </c>
      <c r="I40" s="66"/>
      <c r="J40" s="67">
        <f>I40*$F$40</f>
        <v>0</v>
      </c>
      <c r="K40" s="67">
        <f>I40*$G$40</f>
        <v>0</v>
      </c>
      <c r="L40" s="45">
        <f t="shared" si="685"/>
        <v>0</v>
      </c>
      <c r="M40" s="66"/>
      <c r="N40" s="67">
        <f t="shared" ref="N40" si="730">M40*$F$40</f>
        <v>0</v>
      </c>
      <c r="O40" s="67">
        <f t="shared" ref="O40" si="731">M40*$G$40</f>
        <v>0</v>
      </c>
      <c r="P40" s="45">
        <f t="shared" si="402"/>
        <v>0</v>
      </c>
      <c r="Q40" s="66"/>
      <c r="R40" s="67">
        <f t="shared" ref="R40" si="732">Q40*$F$40</f>
        <v>0</v>
      </c>
      <c r="S40" s="67">
        <f t="shared" ref="S40" si="733">Q40*$G$40</f>
        <v>0</v>
      </c>
      <c r="T40" s="45">
        <f t="shared" si="405"/>
        <v>0</v>
      </c>
      <c r="U40" s="66"/>
      <c r="V40" s="67">
        <f t="shared" ref="V40" si="734">U40*$F$40</f>
        <v>0</v>
      </c>
      <c r="W40" s="67">
        <f t="shared" ref="W40" si="735">U40*$G$40</f>
        <v>0</v>
      </c>
      <c r="X40" s="45">
        <f t="shared" si="408"/>
        <v>0</v>
      </c>
      <c r="Y40" s="66"/>
      <c r="Z40" s="67">
        <f t="shared" ref="Z40" si="736">Y40*$F$40</f>
        <v>0</v>
      </c>
      <c r="AA40" s="67">
        <f t="shared" ref="AA40" si="737">Y40*$G$40</f>
        <v>0</v>
      </c>
      <c r="AB40" s="45">
        <f t="shared" si="411"/>
        <v>0</v>
      </c>
      <c r="AC40" s="66"/>
      <c r="AD40" s="67">
        <f t="shared" ref="AD40" si="738">AC40*$F$40</f>
        <v>0</v>
      </c>
      <c r="AE40" s="67">
        <f t="shared" ref="AE40" si="739">AC40*$G$40</f>
        <v>0</v>
      </c>
      <c r="AF40" s="45">
        <f t="shared" si="414"/>
        <v>0</v>
      </c>
      <c r="AG40" s="66"/>
      <c r="AH40" s="67">
        <f t="shared" ref="AH40" si="740">AG40*$F$40</f>
        <v>0</v>
      </c>
      <c r="AI40" s="67">
        <f t="shared" ref="AI40" si="741">AG40*$G$40</f>
        <v>0</v>
      </c>
      <c r="AJ40" s="45">
        <f t="shared" si="417"/>
        <v>0</v>
      </c>
      <c r="AK40" s="66"/>
      <c r="AL40" s="67">
        <f t="shared" ref="AL40" si="742">AK40*$F$40</f>
        <v>0</v>
      </c>
      <c r="AM40" s="67">
        <f t="shared" ref="AM40" si="743">AK40*$G$40</f>
        <v>0</v>
      </c>
      <c r="AN40" s="45">
        <f t="shared" si="420"/>
        <v>0</v>
      </c>
      <c r="AO40" s="66"/>
      <c r="AP40" s="67">
        <f t="shared" ref="AP40" si="744">AO40*$F$40</f>
        <v>0</v>
      </c>
      <c r="AQ40" s="67">
        <f t="shared" ref="AQ40" si="745">AO40*$G$40</f>
        <v>0</v>
      </c>
      <c r="AR40" s="45">
        <f t="shared" si="423"/>
        <v>0</v>
      </c>
      <c r="AS40" s="66"/>
      <c r="AT40" s="67">
        <f t="shared" ref="AT40" si="746">AS40*$F$40</f>
        <v>0</v>
      </c>
      <c r="AU40" s="67">
        <f t="shared" ref="AU40" si="747">AS40*$G$40</f>
        <v>0</v>
      </c>
      <c r="AV40" s="45">
        <f t="shared" si="426"/>
        <v>0</v>
      </c>
      <c r="AW40" s="66"/>
      <c r="AX40" s="67">
        <f t="shared" ref="AX40" si="748">AW40*$F$40</f>
        <v>0</v>
      </c>
      <c r="AY40" s="67">
        <f t="shared" ref="AY40" si="749">AW40*$G$40</f>
        <v>0</v>
      </c>
      <c r="AZ40" s="45">
        <f t="shared" si="429"/>
        <v>0</v>
      </c>
      <c r="BA40" s="66"/>
      <c r="BB40" s="67">
        <f t="shared" ref="BB40" si="750">BA40*$F$40</f>
        <v>0</v>
      </c>
      <c r="BC40" s="67">
        <f t="shared" ref="BC40" si="751">BA40*$G$40</f>
        <v>0</v>
      </c>
      <c r="BD40" s="45">
        <f t="shared" si="432"/>
        <v>0</v>
      </c>
      <c r="BE40" s="66"/>
      <c r="BF40" s="44">
        <f t="shared" si="530"/>
        <v>0</v>
      </c>
      <c r="BG40" s="44">
        <f t="shared" si="531"/>
        <v>0</v>
      </c>
      <c r="BH40" s="45">
        <f t="shared" si="532"/>
        <v>0</v>
      </c>
      <c r="BI40" s="66"/>
      <c r="BJ40" s="44">
        <f t="shared" si="533"/>
        <v>0</v>
      </c>
      <c r="BK40" s="44"/>
      <c r="BL40" s="45">
        <f t="shared" si="534"/>
        <v>0</v>
      </c>
      <c r="BM40" s="66"/>
      <c r="BN40" s="67">
        <f t="shared" si="438"/>
        <v>0</v>
      </c>
      <c r="BO40" s="67"/>
      <c r="BP40" s="45">
        <f t="shared" si="535"/>
        <v>0</v>
      </c>
      <c r="BQ40" s="66"/>
      <c r="BR40" s="44">
        <f t="shared" si="440"/>
        <v>0</v>
      </c>
      <c r="BS40" s="67"/>
      <c r="BT40" s="45">
        <f t="shared" si="441"/>
        <v>0</v>
      </c>
      <c r="BU40" s="66"/>
      <c r="BV40" s="44">
        <f t="shared" si="442"/>
        <v>0</v>
      </c>
      <c r="BW40" s="67"/>
      <c r="BX40" s="45">
        <f t="shared" si="443"/>
        <v>0</v>
      </c>
      <c r="BY40" s="66"/>
      <c r="BZ40" s="44">
        <f t="shared" si="444"/>
        <v>0</v>
      </c>
      <c r="CA40" s="67"/>
      <c r="CB40" s="45">
        <f t="shared" si="445"/>
        <v>0</v>
      </c>
      <c r="CC40" s="66"/>
      <c r="CD40" s="44">
        <f t="shared" si="536"/>
        <v>0</v>
      </c>
      <c r="CE40" s="67"/>
      <c r="CF40" s="45">
        <f t="shared" si="446"/>
        <v>0</v>
      </c>
      <c r="CG40" s="136"/>
      <c r="CH40" s="91">
        <f t="shared" si="537"/>
        <v>0</v>
      </c>
      <c r="CI40" s="47">
        <f t="shared" si="538"/>
        <v>0</v>
      </c>
      <c r="CJ40" s="47">
        <f t="shared" si="449"/>
        <v>0</v>
      </c>
      <c r="CK40" s="48">
        <f t="shared" si="639"/>
        <v>0</v>
      </c>
      <c r="CL40" s="49">
        <f t="shared" si="450"/>
        <v>1</v>
      </c>
      <c r="CM40" s="50">
        <f t="shared" si="451"/>
        <v>6000</v>
      </c>
      <c r="CO40" s="65"/>
      <c r="CP40" s="65"/>
    </row>
    <row r="41" spans="1:94" ht="26.25" customHeight="1" x14ac:dyDescent="0.25">
      <c r="A41" s="32"/>
      <c r="B41" s="74">
        <v>27</v>
      </c>
      <c r="C41" s="113"/>
      <c r="D41" s="112"/>
      <c r="E41" s="164"/>
      <c r="F41" s="44"/>
      <c r="G41" s="116"/>
      <c r="H41" s="45"/>
      <c r="I41" s="66"/>
      <c r="J41" s="67"/>
      <c r="K41" s="67"/>
      <c r="L41" s="45"/>
      <c r="M41" s="66"/>
      <c r="N41" s="67"/>
      <c r="O41" s="67"/>
      <c r="P41" s="45"/>
      <c r="Q41" s="66"/>
      <c r="R41" s="67"/>
      <c r="S41" s="67"/>
      <c r="T41" s="45"/>
      <c r="U41" s="66"/>
      <c r="V41" s="67"/>
      <c r="W41" s="67"/>
      <c r="X41" s="45"/>
      <c r="Y41" s="66"/>
      <c r="Z41" s="67"/>
      <c r="AA41" s="67"/>
      <c r="AB41" s="45"/>
      <c r="AC41" s="66"/>
      <c r="AD41" s="67"/>
      <c r="AE41" s="67"/>
      <c r="AF41" s="45"/>
      <c r="AG41" s="66"/>
      <c r="AH41" s="67"/>
      <c r="AI41" s="67"/>
      <c r="AJ41" s="45"/>
      <c r="AK41" s="66"/>
      <c r="AL41" s="67"/>
      <c r="AM41" s="67"/>
      <c r="AN41" s="45"/>
      <c r="AO41" s="66"/>
      <c r="AP41" s="67"/>
      <c r="AQ41" s="67"/>
      <c r="AR41" s="45"/>
      <c r="AS41" s="66"/>
      <c r="AT41" s="67"/>
      <c r="AU41" s="67"/>
      <c r="AV41" s="45"/>
      <c r="AW41" s="66"/>
      <c r="AX41" s="67"/>
      <c r="AY41" s="67"/>
      <c r="AZ41" s="45"/>
      <c r="BA41" s="66"/>
      <c r="BB41" s="67"/>
      <c r="BC41" s="67"/>
      <c r="BD41" s="45"/>
      <c r="BE41" s="66"/>
      <c r="BF41" s="44"/>
      <c r="BG41" s="44"/>
      <c r="BH41" s="45"/>
      <c r="BI41" s="66"/>
      <c r="BJ41" s="44"/>
      <c r="BK41" s="44"/>
      <c r="BL41" s="45"/>
      <c r="BM41" s="66"/>
      <c r="BN41" s="67"/>
      <c r="BO41" s="67"/>
      <c r="BP41" s="45"/>
      <c r="BQ41" s="66"/>
      <c r="BR41" s="44"/>
      <c r="BS41" s="67"/>
      <c r="BT41" s="45"/>
      <c r="BU41" s="66"/>
      <c r="BV41" s="44"/>
      <c r="BW41" s="67"/>
      <c r="BX41" s="45"/>
      <c r="BY41" s="66"/>
      <c r="BZ41" s="44"/>
      <c r="CA41" s="67"/>
      <c r="CB41" s="45"/>
      <c r="CC41" s="66"/>
      <c r="CD41" s="44"/>
      <c r="CE41" s="67"/>
      <c r="CF41" s="45"/>
      <c r="CG41" s="136"/>
      <c r="CH41" s="91"/>
      <c r="CI41" s="47"/>
      <c r="CJ41" s="47"/>
      <c r="CK41" s="48"/>
      <c r="CL41" s="49"/>
      <c r="CM41" s="50"/>
      <c r="CO41" s="65"/>
      <c r="CP41" s="65"/>
    </row>
    <row r="42" spans="1:94" s="158" customFormat="1" ht="26.25" customHeight="1" x14ac:dyDescent="0.25">
      <c r="A42" s="148"/>
      <c r="B42" s="74">
        <v>28</v>
      </c>
      <c r="C42" s="146"/>
      <c r="D42" s="149"/>
      <c r="E42" s="149"/>
      <c r="F42" s="150"/>
      <c r="G42" s="151"/>
      <c r="H42" s="147">
        <f>SUM(H30:H40)</f>
        <v>120000</v>
      </c>
      <c r="I42" s="152"/>
      <c r="J42" s="153"/>
      <c r="K42" s="153"/>
      <c r="L42" s="147"/>
      <c r="M42" s="152"/>
      <c r="N42" s="153"/>
      <c r="O42" s="153"/>
      <c r="P42" s="147"/>
      <c r="Q42" s="152"/>
      <c r="R42" s="153"/>
      <c r="S42" s="153"/>
      <c r="T42" s="147"/>
      <c r="U42" s="152"/>
      <c r="V42" s="153"/>
      <c r="W42" s="153"/>
      <c r="X42" s="147"/>
      <c r="Y42" s="152"/>
      <c r="Z42" s="153"/>
      <c r="AA42" s="153"/>
      <c r="AB42" s="147"/>
      <c r="AC42" s="152"/>
      <c r="AD42" s="153"/>
      <c r="AE42" s="153"/>
      <c r="AF42" s="147"/>
      <c r="AG42" s="152"/>
      <c r="AH42" s="153"/>
      <c r="AI42" s="153"/>
      <c r="AJ42" s="147"/>
      <c r="AK42" s="152"/>
      <c r="AL42" s="153"/>
      <c r="AM42" s="153"/>
      <c r="AN42" s="147"/>
      <c r="AO42" s="152"/>
      <c r="AP42" s="153"/>
      <c r="AQ42" s="153"/>
      <c r="AR42" s="147"/>
      <c r="AS42" s="152"/>
      <c r="AT42" s="153"/>
      <c r="AU42" s="153"/>
      <c r="AV42" s="147"/>
      <c r="AW42" s="152"/>
      <c r="AX42" s="153"/>
      <c r="AY42" s="153"/>
      <c r="AZ42" s="147"/>
      <c r="BA42" s="152"/>
      <c r="BB42" s="153"/>
      <c r="BC42" s="153"/>
      <c r="BD42" s="147"/>
      <c r="BE42" s="152"/>
      <c r="BF42" s="153"/>
      <c r="BG42" s="153"/>
      <c r="BH42" s="147"/>
      <c r="BI42" s="152"/>
      <c r="BJ42" s="153"/>
      <c r="BK42" s="153"/>
      <c r="BL42" s="147"/>
      <c r="BM42" s="152"/>
      <c r="BN42" s="153"/>
      <c r="BO42" s="153"/>
      <c r="BP42" s="147"/>
      <c r="BQ42" s="152"/>
      <c r="BR42" s="153"/>
      <c r="BS42" s="153"/>
      <c r="BT42" s="147"/>
      <c r="BU42" s="152"/>
      <c r="BV42" s="153"/>
      <c r="BW42" s="153"/>
      <c r="BX42" s="147"/>
      <c r="BY42" s="152"/>
      <c r="BZ42" s="153"/>
      <c r="CA42" s="153"/>
      <c r="CB42" s="147"/>
      <c r="CC42" s="152"/>
      <c r="CD42" s="153"/>
      <c r="CE42" s="153"/>
      <c r="CF42" s="147"/>
      <c r="CG42" s="154"/>
      <c r="CH42" s="155">
        <f t="shared" si="537"/>
        <v>0</v>
      </c>
      <c r="CI42" s="150">
        <f t="shared" si="538"/>
        <v>0</v>
      </c>
      <c r="CJ42" s="150">
        <f t="shared" si="449"/>
        <v>0</v>
      </c>
      <c r="CK42" s="156">
        <f t="shared" si="639"/>
        <v>0</v>
      </c>
      <c r="CL42" s="153">
        <f t="shared" si="450"/>
        <v>0</v>
      </c>
      <c r="CM42" s="157">
        <f t="shared" si="451"/>
        <v>120000</v>
      </c>
      <c r="CO42" s="159"/>
      <c r="CP42" s="159"/>
    </row>
    <row r="43" spans="1:94" s="197" customFormat="1" ht="26.25" customHeight="1" x14ac:dyDescent="0.25">
      <c r="A43" s="186"/>
      <c r="B43" s="74">
        <v>29</v>
      </c>
      <c r="C43" s="114"/>
      <c r="D43" s="187"/>
      <c r="E43" s="187"/>
      <c r="F43" s="188"/>
      <c r="G43" s="189"/>
      <c r="H43" s="190"/>
      <c r="I43" s="191"/>
      <c r="J43" s="192"/>
      <c r="K43" s="192"/>
      <c r="L43" s="190"/>
      <c r="M43" s="191"/>
      <c r="N43" s="192"/>
      <c r="O43" s="192"/>
      <c r="P43" s="190"/>
      <c r="Q43" s="191"/>
      <c r="R43" s="192"/>
      <c r="S43" s="192"/>
      <c r="T43" s="190"/>
      <c r="U43" s="191"/>
      <c r="V43" s="192"/>
      <c r="W43" s="192"/>
      <c r="X43" s="190"/>
      <c r="Y43" s="191"/>
      <c r="Z43" s="192"/>
      <c r="AA43" s="192"/>
      <c r="AB43" s="190"/>
      <c r="AC43" s="191"/>
      <c r="AD43" s="192"/>
      <c r="AE43" s="192"/>
      <c r="AF43" s="190"/>
      <c r="AG43" s="191"/>
      <c r="AH43" s="192"/>
      <c r="AI43" s="192"/>
      <c r="AJ43" s="190"/>
      <c r="AK43" s="191"/>
      <c r="AL43" s="192"/>
      <c r="AM43" s="192"/>
      <c r="AN43" s="190"/>
      <c r="AO43" s="191"/>
      <c r="AP43" s="192"/>
      <c r="AQ43" s="192"/>
      <c r="AR43" s="190"/>
      <c r="AS43" s="191"/>
      <c r="AT43" s="192"/>
      <c r="AU43" s="192"/>
      <c r="AV43" s="190"/>
      <c r="AW43" s="191"/>
      <c r="AX43" s="192"/>
      <c r="AY43" s="192"/>
      <c r="AZ43" s="190"/>
      <c r="BA43" s="191"/>
      <c r="BB43" s="192"/>
      <c r="BC43" s="192"/>
      <c r="BD43" s="190"/>
      <c r="BE43" s="191"/>
      <c r="BF43" s="192"/>
      <c r="BG43" s="192"/>
      <c r="BH43" s="190"/>
      <c r="BI43" s="191"/>
      <c r="BJ43" s="192"/>
      <c r="BK43" s="192"/>
      <c r="BL43" s="190"/>
      <c r="BM43" s="191"/>
      <c r="BN43" s="192"/>
      <c r="BO43" s="192"/>
      <c r="BP43" s="190"/>
      <c r="BQ43" s="191"/>
      <c r="BR43" s="192"/>
      <c r="BS43" s="192"/>
      <c r="BT43" s="190"/>
      <c r="BU43" s="191"/>
      <c r="BV43" s="192"/>
      <c r="BW43" s="192"/>
      <c r="BX43" s="190"/>
      <c r="BY43" s="191"/>
      <c r="BZ43" s="192"/>
      <c r="CA43" s="192"/>
      <c r="CB43" s="190"/>
      <c r="CC43" s="191"/>
      <c r="CD43" s="192"/>
      <c r="CE43" s="192"/>
      <c r="CF43" s="190"/>
      <c r="CG43" s="193"/>
      <c r="CH43" s="194"/>
      <c r="CI43" s="188"/>
      <c r="CJ43" s="188"/>
      <c r="CK43" s="195"/>
      <c r="CL43" s="192"/>
      <c r="CM43" s="196"/>
      <c r="CO43" s="198"/>
      <c r="CP43" s="198"/>
    </row>
    <row r="44" spans="1:94" s="104" customFormat="1" ht="26.25" customHeight="1" x14ac:dyDescent="0.25">
      <c r="A44" s="172"/>
      <c r="B44" s="173"/>
      <c r="C44" s="174" t="s">
        <v>92</v>
      </c>
      <c r="D44" s="175"/>
      <c r="E44" s="175"/>
      <c r="F44" s="176"/>
      <c r="G44" s="177"/>
      <c r="H44" s="178">
        <f>H129*0.05</f>
        <v>200000</v>
      </c>
      <c r="I44" s="179"/>
      <c r="J44" s="180"/>
      <c r="K44" s="180"/>
      <c r="L44" s="181"/>
      <c r="M44" s="179"/>
      <c r="N44" s="180"/>
      <c r="O44" s="180"/>
      <c r="P44" s="181"/>
      <c r="Q44" s="179"/>
      <c r="R44" s="180"/>
      <c r="S44" s="180"/>
      <c r="T44" s="181"/>
      <c r="U44" s="179"/>
      <c r="V44" s="180"/>
      <c r="W44" s="180"/>
      <c r="X44" s="181"/>
      <c r="Y44" s="179"/>
      <c r="Z44" s="180"/>
      <c r="AA44" s="180"/>
      <c r="AB44" s="181"/>
      <c r="AC44" s="179"/>
      <c r="AD44" s="180"/>
      <c r="AE44" s="180"/>
      <c r="AF44" s="181"/>
      <c r="AG44" s="179"/>
      <c r="AH44" s="180"/>
      <c r="AI44" s="180"/>
      <c r="AJ44" s="181"/>
      <c r="AK44" s="179"/>
      <c r="AL44" s="180"/>
      <c r="AM44" s="180"/>
      <c r="AN44" s="181"/>
      <c r="AO44" s="179"/>
      <c r="AP44" s="180"/>
      <c r="AQ44" s="180"/>
      <c r="AR44" s="181"/>
      <c r="AS44" s="179"/>
      <c r="AT44" s="180"/>
      <c r="AU44" s="180"/>
      <c r="AV44" s="181"/>
      <c r="AW44" s="179"/>
      <c r="AX44" s="180"/>
      <c r="AY44" s="180"/>
      <c r="AZ44" s="181"/>
      <c r="BA44" s="179"/>
      <c r="BB44" s="180"/>
      <c r="BC44" s="180"/>
      <c r="BD44" s="181"/>
      <c r="BE44" s="179"/>
      <c r="BF44" s="180"/>
      <c r="BG44" s="180"/>
      <c r="BH44" s="181"/>
      <c r="BI44" s="179"/>
      <c r="BJ44" s="180"/>
      <c r="BK44" s="180"/>
      <c r="BL44" s="181"/>
      <c r="BM44" s="179"/>
      <c r="BN44" s="180"/>
      <c r="BO44" s="180"/>
      <c r="BP44" s="181"/>
      <c r="BQ44" s="179"/>
      <c r="BR44" s="180"/>
      <c r="BS44" s="180"/>
      <c r="BT44" s="181"/>
      <c r="BU44" s="179"/>
      <c r="BV44" s="180"/>
      <c r="BW44" s="180"/>
      <c r="BX44" s="181"/>
      <c r="BY44" s="179"/>
      <c r="BZ44" s="180"/>
      <c r="CA44" s="180"/>
      <c r="CB44" s="181"/>
      <c r="CC44" s="179"/>
      <c r="CD44" s="180"/>
      <c r="CE44" s="180"/>
      <c r="CF44" s="181"/>
      <c r="CG44" s="182"/>
      <c r="CH44" s="91">
        <f t="shared" ref="CH44:CH57" si="752">I44+M44+Q44+U44+Y44+AC44+AG44+AK44+AO44+BA44+BE44+BI44+BM44+BQ44+BU44+BY44+CC44</f>
        <v>0</v>
      </c>
      <c r="CI44" s="183">
        <f t="shared" si="538"/>
        <v>0</v>
      </c>
      <c r="CJ44" s="183">
        <f t="shared" si="449"/>
        <v>0</v>
      </c>
      <c r="CK44" s="184">
        <f t="shared" si="639"/>
        <v>0</v>
      </c>
      <c r="CL44" s="180">
        <f t="shared" si="450"/>
        <v>0</v>
      </c>
      <c r="CM44" s="185"/>
      <c r="CO44" s="105"/>
      <c r="CP44" s="105"/>
    </row>
    <row r="45" spans="1:94" ht="26.25" customHeight="1" x14ac:dyDescent="0.25">
      <c r="A45" s="32"/>
      <c r="B45" s="74">
        <v>30</v>
      </c>
      <c r="C45" s="113" t="s">
        <v>87</v>
      </c>
      <c r="D45" s="112">
        <v>4</v>
      </c>
      <c r="E45" s="130">
        <f>D45-I45-M45-Q45-U45-Y45-AC45-AK45-AO45-AS45-AW45-BA45-BE45-BI45</f>
        <v>4</v>
      </c>
      <c r="F45" s="44">
        <f>H45/D45</f>
        <v>4000</v>
      </c>
      <c r="G45" s="116"/>
      <c r="H45" s="45">
        <f>H44*0.08</f>
        <v>16000</v>
      </c>
      <c r="I45" s="66"/>
      <c r="J45" s="67">
        <f>I45*$F$45</f>
        <v>0</v>
      </c>
      <c r="K45" s="67">
        <f>I45*$G$45</f>
        <v>0</v>
      </c>
      <c r="L45" s="45">
        <f t="shared" ref="L45:L57" si="753">SUM(J45:K45)</f>
        <v>0</v>
      </c>
      <c r="M45" s="66"/>
      <c r="N45" s="67">
        <f t="shared" ref="N45" si="754">M45*$F$45</f>
        <v>0</v>
      </c>
      <c r="O45" s="67">
        <f t="shared" ref="O45" si="755">M45*$G$45</f>
        <v>0</v>
      </c>
      <c r="P45" s="45">
        <f t="shared" ref="P45:P55" si="756">SUM(N45:O45)</f>
        <v>0</v>
      </c>
      <c r="Q45" s="66"/>
      <c r="R45" s="67">
        <f t="shared" ref="R45" si="757">Q45*$F$45</f>
        <v>0</v>
      </c>
      <c r="S45" s="67">
        <f t="shared" ref="S45" si="758">Q45*$G$45</f>
        <v>0</v>
      </c>
      <c r="T45" s="45">
        <f t="shared" ref="T45:T55" si="759">SUM(R45:S45)</f>
        <v>0</v>
      </c>
      <c r="U45" s="66"/>
      <c r="V45" s="67">
        <f t="shared" ref="V45" si="760">U45*$F$45</f>
        <v>0</v>
      </c>
      <c r="W45" s="67">
        <f t="shared" ref="W45" si="761">U45*$G$45</f>
        <v>0</v>
      </c>
      <c r="X45" s="45">
        <f t="shared" ref="X45:X55" si="762">SUM(V45:W45)</f>
        <v>0</v>
      </c>
      <c r="Y45" s="66"/>
      <c r="Z45" s="67">
        <f t="shared" ref="Z45" si="763">Y45*$F$45</f>
        <v>0</v>
      </c>
      <c r="AA45" s="67">
        <f t="shared" ref="AA45" si="764">Y45*$G$45</f>
        <v>0</v>
      </c>
      <c r="AB45" s="45">
        <f t="shared" ref="AB45:AB55" si="765">SUM(Z45:AA45)</f>
        <v>0</v>
      </c>
      <c r="AC45" s="66"/>
      <c r="AD45" s="67">
        <f t="shared" ref="AD45" si="766">AC45*$F$45</f>
        <v>0</v>
      </c>
      <c r="AE45" s="67">
        <f t="shared" ref="AE45" si="767">AC45*$G$45</f>
        <v>0</v>
      </c>
      <c r="AF45" s="45">
        <f t="shared" ref="AF45:AF55" si="768">SUM(AD45:AE45)</f>
        <v>0</v>
      </c>
      <c r="AG45" s="66"/>
      <c r="AH45" s="67">
        <f t="shared" ref="AH45" si="769">AG45*$F$45</f>
        <v>0</v>
      </c>
      <c r="AI45" s="67">
        <f t="shared" ref="AI45" si="770">AG45*$G$45</f>
        <v>0</v>
      </c>
      <c r="AJ45" s="45">
        <f t="shared" ref="AJ45:AJ55" si="771">SUM(AH45:AI45)</f>
        <v>0</v>
      </c>
      <c r="AK45" s="66"/>
      <c r="AL45" s="67">
        <f t="shared" ref="AL45" si="772">AK45*$F$45</f>
        <v>0</v>
      </c>
      <c r="AM45" s="67">
        <f t="shared" ref="AM45" si="773">AK45*$G$45</f>
        <v>0</v>
      </c>
      <c r="AN45" s="45">
        <f t="shared" ref="AN45:AN55" si="774">SUM(AL45:AM45)</f>
        <v>0</v>
      </c>
      <c r="AO45" s="66"/>
      <c r="AP45" s="67">
        <f t="shared" ref="AP45" si="775">AO45*$F$45</f>
        <v>0</v>
      </c>
      <c r="AQ45" s="67">
        <f t="shared" ref="AQ45" si="776">AO45*$G$45</f>
        <v>0</v>
      </c>
      <c r="AR45" s="45">
        <f t="shared" ref="AR45:AR55" si="777">SUM(AP45:AQ45)</f>
        <v>0</v>
      </c>
      <c r="AS45" s="66"/>
      <c r="AT45" s="67">
        <f t="shared" ref="AT45" si="778">AS45*$F$45</f>
        <v>0</v>
      </c>
      <c r="AU45" s="67">
        <f t="shared" ref="AU45" si="779">AS45*$G$45</f>
        <v>0</v>
      </c>
      <c r="AV45" s="45">
        <f t="shared" ref="AV45:AV55" si="780">SUM(AT45:AU45)</f>
        <v>0</v>
      </c>
      <c r="AW45" s="66"/>
      <c r="AX45" s="67">
        <f t="shared" ref="AX45" si="781">AW45*$F$45</f>
        <v>0</v>
      </c>
      <c r="AY45" s="67">
        <f t="shared" ref="AY45" si="782">AW45*$G$45</f>
        <v>0</v>
      </c>
      <c r="AZ45" s="45">
        <f t="shared" ref="AZ45:AZ55" si="783">SUM(AX45:AY45)</f>
        <v>0</v>
      </c>
      <c r="BA45" s="66"/>
      <c r="BB45" s="67">
        <f t="shared" ref="BB45" si="784">BA45*$F$45</f>
        <v>0</v>
      </c>
      <c r="BC45" s="67">
        <f t="shared" ref="BC45" si="785">BA45*$G$45</f>
        <v>0</v>
      </c>
      <c r="BD45" s="45">
        <f t="shared" ref="BD45:BD55" si="786">SUM(BB45:BC45)</f>
        <v>0</v>
      </c>
      <c r="BE45" s="66"/>
      <c r="BF45" s="44">
        <f t="shared" ref="BF45" si="787">F45*BE45</f>
        <v>0</v>
      </c>
      <c r="BG45" s="44">
        <f t="shared" ref="BG45" si="788">G45*BE45</f>
        <v>0</v>
      </c>
      <c r="BH45" s="45">
        <f t="shared" ref="BH45" si="789">BG45+BF45</f>
        <v>0</v>
      </c>
      <c r="BI45" s="66"/>
      <c r="BJ45" s="44">
        <f t="shared" ref="BJ45" si="790">BI45*F45</f>
        <v>0</v>
      </c>
      <c r="BK45" s="44"/>
      <c r="BL45" s="45">
        <f t="shared" ref="BL45" si="791">BK45+BJ45</f>
        <v>0</v>
      </c>
      <c r="BM45" s="66"/>
      <c r="BN45" s="67">
        <f t="shared" ref="BN45:BN57" si="792">BM45*F45</f>
        <v>0</v>
      </c>
      <c r="BO45" s="67"/>
      <c r="BP45" s="45">
        <f t="shared" ref="BP45" si="793">BO45+BN45</f>
        <v>0</v>
      </c>
      <c r="BQ45" s="66"/>
      <c r="BR45" s="44">
        <f t="shared" ref="BR45:BR57" si="794">BQ45*F45</f>
        <v>0</v>
      </c>
      <c r="BS45" s="67"/>
      <c r="BT45" s="45">
        <f t="shared" ref="BT45:BT57" si="795">BS45+BR45</f>
        <v>0</v>
      </c>
      <c r="BU45" s="66"/>
      <c r="BV45" s="44">
        <f t="shared" ref="BV45:BV57" si="796">F45*BU45</f>
        <v>0</v>
      </c>
      <c r="BW45" s="67"/>
      <c r="BX45" s="45">
        <f t="shared" ref="BX45:BX57" si="797">BW45+BV45</f>
        <v>0</v>
      </c>
      <c r="BY45" s="66"/>
      <c r="BZ45" s="44">
        <f t="shared" ref="BZ45:BZ57" si="798">BY45*J45</f>
        <v>0</v>
      </c>
      <c r="CA45" s="67"/>
      <c r="CB45" s="45">
        <f t="shared" ref="CB45:CB57" si="799">CA45+BZ45</f>
        <v>0</v>
      </c>
      <c r="CC45" s="66"/>
      <c r="CD45" s="44">
        <f t="shared" ref="CD45:CD57" si="800">CC45*N45</f>
        <v>0</v>
      </c>
      <c r="CE45" s="67"/>
      <c r="CF45" s="45">
        <f t="shared" ref="CF45:CF57" si="801">CE45+CD45</f>
        <v>0</v>
      </c>
      <c r="CG45" s="136"/>
      <c r="CH45" s="91">
        <f t="shared" si="752"/>
        <v>0</v>
      </c>
      <c r="CI45" s="47">
        <f t="shared" si="538"/>
        <v>0</v>
      </c>
      <c r="CJ45" s="47">
        <f t="shared" si="449"/>
        <v>0</v>
      </c>
      <c r="CK45" s="48">
        <f t="shared" si="639"/>
        <v>0</v>
      </c>
      <c r="CL45" s="49">
        <f t="shared" si="450"/>
        <v>4</v>
      </c>
      <c r="CM45" s="50">
        <f t="shared" si="451"/>
        <v>16000</v>
      </c>
      <c r="CO45" s="65"/>
      <c r="CP45" s="65"/>
    </row>
    <row r="46" spans="1:94" ht="26.25" customHeight="1" x14ac:dyDescent="0.25">
      <c r="A46" s="32"/>
      <c r="B46" s="74">
        <v>31</v>
      </c>
      <c r="C46" s="113" t="s">
        <v>86</v>
      </c>
      <c r="D46" s="112">
        <v>4</v>
      </c>
      <c r="E46" s="130">
        <f>D46-I46-M46-Q46-U46-Y46-AC46-AK46-AO46-AS46-AW46-BA46-BE46-BI46</f>
        <v>4</v>
      </c>
      <c r="F46" s="44">
        <f>H46/D46</f>
        <v>2500</v>
      </c>
      <c r="G46" s="116"/>
      <c r="H46" s="45">
        <f>H44*0.05</f>
        <v>10000</v>
      </c>
      <c r="I46" s="66"/>
      <c r="J46" s="67">
        <f>I46*$F$45</f>
        <v>0</v>
      </c>
      <c r="K46" s="67">
        <f>I46*$G$45</f>
        <v>0</v>
      </c>
      <c r="L46" s="45">
        <f t="shared" ref="L46" si="802">SUM(J46:K46)</f>
        <v>0</v>
      </c>
      <c r="M46" s="66"/>
      <c r="N46" s="67">
        <f t="shared" ref="N46" si="803">M46*$F$45</f>
        <v>0</v>
      </c>
      <c r="O46" s="67">
        <f t="shared" ref="O46" si="804">M46*$G$45</f>
        <v>0</v>
      </c>
      <c r="P46" s="45">
        <f t="shared" ref="P46" si="805">SUM(N46:O46)</f>
        <v>0</v>
      </c>
      <c r="Q46" s="66"/>
      <c r="R46" s="67">
        <f t="shared" ref="R46" si="806">Q46*$F$45</f>
        <v>0</v>
      </c>
      <c r="S46" s="67">
        <f t="shared" ref="S46" si="807">Q46*$G$45</f>
        <v>0</v>
      </c>
      <c r="T46" s="45">
        <f t="shared" ref="T46" si="808">SUM(R46:S46)</f>
        <v>0</v>
      </c>
      <c r="U46" s="66"/>
      <c r="V46" s="67">
        <f t="shared" ref="V46" si="809">U46*$F$45</f>
        <v>0</v>
      </c>
      <c r="W46" s="67">
        <f t="shared" ref="W46" si="810">U46*$G$45</f>
        <v>0</v>
      </c>
      <c r="X46" s="45">
        <f t="shared" ref="X46" si="811">SUM(V46:W46)</f>
        <v>0</v>
      </c>
      <c r="Y46" s="66"/>
      <c r="Z46" s="67">
        <f t="shared" ref="Z46" si="812">Y46*$F$45</f>
        <v>0</v>
      </c>
      <c r="AA46" s="67">
        <f t="shared" ref="AA46" si="813">Y46*$G$45</f>
        <v>0</v>
      </c>
      <c r="AB46" s="45">
        <f t="shared" ref="AB46" si="814">SUM(Z46:AA46)</f>
        <v>0</v>
      </c>
      <c r="AC46" s="66"/>
      <c r="AD46" s="67">
        <f t="shared" ref="AD46" si="815">AC46*$F$45</f>
        <v>0</v>
      </c>
      <c r="AE46" s="67">
        <f t="shared" ref="AE46" si="816">AC46*$G$45</f>
        <v>0</v>
      </c>
      <c r="AF46" s="45">
        <f t="shared" ref="AF46" si="817">SUM(AD46:AE46)</f>
        <v>0</v>
      </c>
      <c r="AG46" s="66"/>
      <c r="AH46" s="67">
        <f t="shared" ref="AH46" si="818">AG46*$F$45</f>
        <v>0</v>
      </c>
      <c r="AI46" s="67">
        <f t="shared" ref="AI46" si="819">AG46*$G$45</f>
        <v>0</v>
      </c>
      <c r="AJ46" s="45">
        <f t="shared" ref="AJ46" si="820">SUM(AH46:AI46)</f>
        <v>0</v>
      </c>
      <c r="AK46" s="66"/>
      <c r="AL46" s="67">
        <f t="shared" ref="AL46" si="821">AK46*$F$45</f>
        <v>0</v>
      </c>
      <c r="AM46" s="67">
        <f t="shared" ref="AM46" si="822">AK46*$G$45</f>
        <v>0</v>
      </c>
      <c r="AN46" s="45">
        <f t="shared" ref="AN46" si="823">SUM(AL46:AM46)</f>
        <v>0</v>
      </c>
      <c r="AO46" s="66"/>
      <c r="AP46" s="67">
        <f t="shared" ref="AP46" si="824">AO46*$F$45</f>
        <v>0</v>
      </c>
      <c r="AQ46" s="67">
        <f t="shared" ref="AQ46" si="825">AO46*$G$45</f>
        <v>0</v>
      </c>
      <c r="AR46" s="45">
        <f t="shared" ref="AR46" si="826">SUM(AP46:AQ46)</f>
        <v>0</v>
      </c>
      <c r="AS46" s="66"/>
      <c r="AT46" s="67">
        <f t="shared" ref="AT46" si="827">AS46*$F$45</f>
        <v>0</v>
      </c>
      <c r="AU46" s="67">
        <f t="shared" ref="AU46" si="828">AS46*$G$45</f>
        <v>0</v>
      </c>
      <c r="AV46" s="45">
        <f t="shared" ref="AV46" si="829">SUM(AT46:AU46)</f>
        <v>0</v>
      </c>
      <c r="AW46" s="66"/>
      <c r="AX46" s="67">
        <f t="shared" ref="AX46" si="830">AW46*$F$45</f>
        <v>0</v>
      </c>
      <c r="AY46" s="67">
        <f t="shared" ref="AY46" si="831">AW46*$G$45</f>
        <v>0</v>
      </c>
      <c r="AZ46" s="45">
        <f t="shared" ref="AZ46" si="832">SUM(AX46:AY46)</f>
        <v>0</v>
      </c>
      <c r="BA46" s="66"/>
      <c r="BB46" s="67">
        <f t="shared" ref="BB46" si="833">BA46*$F$45</f>
        <v>0</v>
      </c>
      <c r="BC46" s="67">
        <f t="shared" ref="BC46" si="834">BA46*$G$45</f>
        <v>0</v>
      </c>
      <c r="BD46" s="45">
        <f t="shared" ref="BD46" si="835">SUM(BB46:BC46)</f>
        <v>0</v>
      </c>
      <c r="BE46" s="66"/>
      <c r="BF46" s="44">
        <f t="shared" ref="BF46" si="836">F46*BE46</f>
        <v>0</v>
      </c>
      <c r="BG46" s="44">
        <f t="shared" ref="BG46" si="837">G46*BE46</f>
        <v>0</v>
      </c>
      <c r="BH46" s="45">
        <f t="shared" ref="BH46" si="838">BG46+BF46</f>
        <v>0</v>
      </c>
      <c r="BI46" s="66"/>
      <c r="BJ46" s="44">
        <f t="shared" ref="BJ46" si="839">BI46*F46</f>
        <v>0</v>
      </c>
      <c r="BK46" s="44"/>
      <c r="BL46" s="45">
        <f t="shared" ref="BL46" si="840">BK46+BJ46</f>
        <v>0</v>
      </c>
      <c r="BM46" s="66"/>
      <c r="BN46" s="67">
        <f t="shared" ref="BN46" si="841">BM46*F46</f>
        <v>0</v>
      </c>
      <c r="BO46" s="67"/>
      <c r="BP46" s="45">
        <f t="shared" ref="BP46" si="842">BO46+BN46</f>
        <v>0</v>
      </c>
      <c r="BQ46" s="66"/>
      <c r="BR46" s="44">
        <f t="shared" ref="BR46" si="843">BQ46*F46</f>
        <v>0</v>
      </c>
      <c r="BS46" s="67"/>
      <c r="BT46" s="45">
        <f t="shared" ref="BT46" si="844">BS46+BR46</f>
        <v>0</v>
      </c>
      <c r="BU46" s="66"/>
      <c r="BV46" s="44">
        <f t="shared" ref="BV46" si="845">F46*BU46</f>
        <v>0</v>
      </c>
      <c r="BW46" s="67"/>
      <c r="BX46" s="45">
        <f t="shared" ref="BX46" si="846">BW46+BV46</f>
        <v>0</v>
      </c>
      <c r="BY46" s="66"/>
      <c r="BZ46" s="44">
        <f t="shared" ref="BZ46" si="847">BY46*J46</f>
        <v>0</v>
      </c>
      <c r="CA46" s="67"/>
      <c r="CB46" s="45">
        <f t="shared" ref="CB46" si="848">CA46+BZ46</f>
        <v>0</v>
      </c>
      <c r="CC46" s="66"/>
      <c r="CD46" s="44">
        <f t="shared" ref="CD46" si="849">CC46*N46</f>
        <v>0</v>
      </c>
      <c r="CE46" s="67"/>
      <c r="CF46" s="45">
        <f t="shared" ref="CF46" si="850">CE46+CD46</f>
        <v>0</v>
      </c>
      <c r="CG46" s="136"/>
      <c r="CH46" s="91">
        <f t="shared" ref="CH46" si="851">I46+M46+Q46+U46+Y46+AC46+AG46+AK46+AO46+BA46+BE46+BI46+BM46+BQ46+BU46+BY46+CC46</f>
        <v>0</v>
      </c>
      <c r="CI46" s="47">
        <f t="shared" ref="CI46" si="852">CH46*F46</f>
        <v>0</v>
      </c>
      <c r="CJ46" s="47">
        <f t="shared" ref="CJ46" si="853">CH46*G46</f>
        <v>0</v>
      </c>
      <c r="CK46" s="48">
        <f t="shared" ref="CK46" si="854">SUM(CI46:CJ46)</f>
        <v>0</v>
      </c>
      <c r="CL46" s="49">
        <f t="shared" ref="CL46" si="855">D46-CH46</f>
        <v>4</v>
      </c>
      <c r="CM46" s="50">
        <f t="shared" ref="CM46" si="856">H46-CK46</f>
        <v>10000</v>
      </c>
      <c r="CO46" s="65"/>
      <c r="CP46" s="65"/>
    </row>
    <row r="47" spans="1:94" ht="26.25" customHeight="1" x14ac:dyDescent="0.25">
      <c r="A47" s="32"/>
      <c r="B47" s="74">
        <v>32</v>
      </c>
      <c r="C47" s="113" t="s">
        <v>89</v>
      </c>
      <c r="D47" s="112">
        <v>4</v>
      </c>
      <c r="E47" s="130">
        <f t="shared" ref="E47:E56" si="857">D47-I47-M47-Q47-U47-Y47-AC47-AK47-AO47-AS47-AW47-BA47-BE47-BI47</f>
        <v>4</v>
      </c>
      <c r="F47" s="44">
        <f t="shared" ref="F47:F57" si="858">H47/D47</f>
        <v>4000</v>
      </c>
      <c r="G47" s="116"/>
      <c r="H47" s="45">
        <f>H44*0.08</f>
        <v>16000</v>
      </c>
      <c r="I47" s="66"/>
      <c r="J47" s="67">
        <f>I47*$F$47</f>
        <v>0</v>
      </c>
      <c r="K47" s="67">
        <f>I47*$G$47</f>
        <v>0</v>
      </c>
      <c r="L47" s="45">
        <f t="shared" si="753"/>
        <v>0</v>
      </c>
      <c r="M47" s="66"/>
      <c r="N47" s="67">
        <f t="shared" ref="N47" si="859">M47*$F$47</f>
        <v>0</v>
      </c>
      <c r="O47" s="67">
        <f t="shared" ref="O47" si="860">M47*$G$47</f>
        <v>0</v>
      </c>
      <c r="P47" s="45">
        <f t="shared" si="756"/>
        <v>0</v>
      </c>
      <c r="Q47" s="66"/>
      <c r="R47" s="67">
        <f t="shared" ref="R47" si="861">Q47*$F$47</f>
        <v>0</v>
      </c>
      <c r="S47" s="67">
        <f t="shared" ref="S47" si="862">Q47*$G$47</f>
        <v>0</v>
      </c>
      <c r="T47" s="45">
        <f t="shared" si="759"/>
        <v>0</v>
      </c>
      <c r="U47" s="66"/>
      <c r="V47" s="67">
        <f t="shared" ref="V47" si="863">U47*$F$47</f>
        <v>0</v>
      </c>
      <c r="W47" s="67">
        <f t="shared" ref="W47" si="864">U47*$G$47</f>
        <v>0</v>
      </c>
      <c r="X47" s="45">
        <f t="shared" si="762"/>
        <v>0</v>
      </c>
      <c r="Y47" s="66"/>
      <c r="Z47" s="67">
        <f t="shared" ref="Z47" si="865">Y47*$F$47</f>
        <v>0</v>
      </c>
      <c r="AA47" s="67">
        <f t="shared" ref="AA47" si="866">Y47*$G$47</f>
        <v>0</v>
      </c>
      <c r="AB47" s="45">
        <f t="shared" si="765"/>
        <v>0</v>
      </c>
      <c r="AC47" s="66"/>
      <c r="AD47" s="67">
        <f t="shared" ref="AD47" si="867">AC47*$F$47</f>
        <v>0</v>
      </c>
      <c r="AE47" s="67">
        <f t="shared" ref="AE47" si="868">AC47*$G$47</f>
        <v>0</v>
      </c>
      <c r="AF47" s="45">
        <f t="shared" si="768"/>
        <v>0</v>
      </c>
      <c r="AG47" s="66"/>
      <c r="AH47" s="67">
        <f t="shared" ref="AH47" si="869">AG47*$F$47</f>
        <v>0</v>
      </c>
      <c r="AI47" s="67">
        <f t="shared" ref="AI47" si="870">AG47*$G$47</f>
        <v>0</v>
      </c>
      <c r="AJ47" s="45">
        <f t="shared" si="771"/>
        <v>0</v>
      </c>
      <c r="AK47" s="66"/>
      <c r="AL47" s="67">
        <f t="shared" ref="AL47" si="871">AK47*$F$47</f>
        <v>0</v>
      </c>
      <c r="AM47" s="67">
        <f t="shared" ref="AM47" si="872">AK47*$G$47</f>
        <v>0</v>
      </c>
      <c r="AN47" s="45">
        <f t="shared" si="774"/>
        <v>0</v>
      </c>
      <c r="AO47" s="66"/>
      <c r="AP47" s="67">
        <f t="shared" ref="AP47" si="873">AO47*$F$47</f>
        <v>0</v>
      </c>
      <c r="AQ47" s="67">
        <f t="shared" ref="AQ47" si="874">AO47*$G$47</f>
        <v>0</v>
      </c>
      <c r="AR47" s="45">
        <f t="shared" si="777"/>
        <v>0</v>
      </c>
      <c r="AS47" s="66"/>
      <c r="AT47" s="67">
        <f t="shared" ref="AT47" si="875">AS47*$F$47</f>
        <v>0</v>
      </c>
      <c r="AU47" s="67">
        <f t="shared" ref="AU47" si="876">AS47*$G$47</f>
        <v>0</v>
      </c>
      <c r="AV47" s="45">
        <f t="shared" si="780"/>
        <v>0</v>
      </c>
      <c r="AW47" s="66"/>
      <c r="AX47" s="67">
        <f t="shared" ref="AX47" si="877">AW47*$F$47</f>
        <v>0</v>
      </c>
      <c r="AY47" s="67">
        <f t="shared" ref="AY47" si="878">AW47*$G$47</f>
        <v>0</v>
      </c>
      <c r="AZ47" s="45">
        <f t="shared" si="783"/>
        <v>0</v>
      </c>
      <c r="BA47" s="66"/>
      <c r="BB47" s="67">
        <f t="shared" ref="BB47" si="879">BA47*$F$47</f>
        <v>0</v>
      </c>
      <c r="BC47" s="67">
        <f t="shared" ref="BC47" si="880">BA47*$G$47</f>
        <v>0</v>
      </c>
      <c r="BD47" s="45">
        <f t="shared" si="786"/>
        <v>0</v>
      </c>
      <c r="BE47" s="66"/>
      <c r="BF47" s="44">
        <f t="shared" ref="BF47:BF57" si="881">F47*BE47</f>
        <v>0</v>
      </c>
      <c r="BG47" s="44">
        <f t="shared" ref="BG47:BG57" si="882">G47*BE47</f>
        <v>0</v>
      </c>
      <c r="BH47" s="45">
        <f t="shared" ref="BH47:BH57" si="883">BG47+BF47</f>
        <v>0</v>
      </c>
      <c r="BI47" s="66"/>
      <c r="BJ47" s="44">
        <f t="shared" ref="BJ47:BJ57" si="884">BI47*F47</f>
        <v>0</v>
      </c>
      <c r="BK47" s="44"/>
      <c r="BL47" s="45">
        <f t="shared" ref="BL47:BL57" si="885">BK47+BJ47</f>
        <v>0</v>
      </c>
      <c r="BM47" s="66"/>
      <c r="BN47" s="67">
        <f t="shared" si="792"/>
        <v>0</v>
      </c>
      <c r="BO47" s="67"/>
      <c r="BP47" s="45">
        <f t="shared" ref="BP47:BP57" si="886">BO47+BN47</f>
        <v>0</v>
      </c>
      <c r="BQ47" s="66"/>
      <c r="BR47" s="44">
        <f t="shared" si="794"/>
        <v>0</v>
      </c>
      <c r="BS47" s="67"/>
      <c r="BT47" s="45">
        <f t="shared" si="795"/>
        <v>0</v>
      </c>
      <c r="BU47" s="66"/>
      <c r="BV47" s="44">
        <f t="shared" si="796"/>
        <v>0</v>
      </c>
      <c r="BW47" s="67"/>
      <c r="BX47" s="45">
        <f t="shared" si="797"/>
        <v>0</v>
      </c>
      <c r="BY47" s="66"/>
      <c r="BZ47" s="44">
        <f t="shared" si="798"/>
        <v>0</v>
      </c>
      <c r="CA47" s="67"/>
      <c r="CB47" s="45">
        <f t="shared" si="799"/>
        <v>0</v>
      </c>
      <c r="CC47" s="66"/>
      <c r="CD47" s="44">
        <f t="shared" si="800"/>
        <v>0</v>
      </c>
      <c r="CE47" s="67"/>
      <c r="CF47" s="45">
        <f t="shared" si="801"/>
        <v>0</v>
      </c>
      <c r="CG47" s="136"/>
      <c r="CH47" s="91">
        <f t="shared" si="752"/>
        <v>0</v>
      </c>
      <c r="CI47" s="47">
        <f t="shared" si="538"/>
        <v>0</v>
      </c>
      <c r="CJ47" s="47">
        <f t="shared" si="449"/>
        <v>0</v>
      </c>
      <c r="CK47" s="48">
        <f t="shared" si="639"/>
        <v>0</v>
      </c>
      <c r="CL47" s="49">
        <f t="shared" si="450"/>
        <v>4</v>
      </c>
      <c r="CM47" s="50">
        <f t="shared" si="451"/>
        <v>16000</v>
      </c>
      <c r="CO47" s="65"/>
      <c r="CP47" s="65"/>
    </row>
    <row r="48" spans="1:94" ht="26.25" customHeight="1" x14ac:dyDescent="0.25">
      <c r="A48" s="32"/>
      <c r="B48" s="74">
        <v>33</v>
      </c>
      <c r="C48" s="113" t="s">
        <v>88</v>
      </c>
      <c r="D48" s="112">
        <v>4</v>
      </c>
      <c r="E48" s="130">
        <f t="shared" ref="E48" si="887">D48-I48-M48-Q48-U48-Y48-AC48-AK48-AO48-AS48-AW48-BA48-BE48-BI48</f>
        <v>4</v>
      </c>
      <c r="F48" s="44">
        <f t="shared" ref="F48" si="888">H48/D48</f>
        <v>2500</v>
      </c>
      <c r="G48" s="116"/>
      <c r="H48" s="45">
        <f>H44*0.05</f>
        <v>10000</v>
      </c>
      <c r="I48" s="66"/>
      <c r="J48" s="67">
        <f>I48*$F$47</f>
        <v>0</v>
      </c>
      <c r="K48" s="67">
        <f>I48*$G$47</f>
        <v>0</v>
      </c>
      <c r="L48" s="45">
        <f t="shared" ref="L48" si="889">SUM(J48:K48)</f>
        <v>0</v>
      </c>
      <c r="M48" s="66"/>
      <c r="N48" s="67">
        <f t="shared" ref="N48" si="890">M48*$F$47</f>
        <v>0</v>
      </c>
      <c r="O48" s="67">
        <f t="shared" ref="O48" si="891">M48*$G$47</f>
        <v>0</v>
      </c>
      <c r="P48" s="45">
        <f t="shared" ref="P48" si="892">SUM(N48:O48)</f>
        <v>0</v>
      </c>
      <c r="Q48" s="66"/>
      <c r="R48" s="67">
        <f t="shared" ref="R48" si="893">Q48*$F$47</f>
        <v>0</v>
      </c>
      <c r="S48" s="67">
        <f t="shared" ref="S48" si="894">Q48*$G$47</f>
        <v>0</v>
      </c>
      <c r="T48" s="45">
        <f t="shared" ref="T48" si="895">SUM(R48:S48)</f>
        <v>0</v>
      </c>
      <c r="U48" s="66"/>
      <c r="V48" s="67">
        <f t="shared" ref="V48" si="896">U48*$F$47</f>
        <v>0</v>
      </c>
      <c r="W48" s="67">
        <f t="shared" ref="W48" si="897">U48*$G$47</f>
        <v>0</v>
      </c>
      <c r="X48" s="45">
        <f t="shared" ref="X48" si="898">SUM(V48:W48)</f>
        <v>0</v>
      </c>
      <c r="Y48" s="66"/>
      <c r="Z48" s="67">
        <f t="shared" ref="Z48" si="899">Y48*$F$47</f>
        <v>0</v>
      </c>
      <c r="AA48" s="67">
        <f t="shared" ref="AA48" si="900">Y48*$G$47</f>
        <v>0</v>
      </c>
      <c r="AB48" s="45">
        <f t="shared" ref="AB48" si="901">SUM(Z48:AA48)</f>
        <v>0</v>
      </c>
      <c r="AC48" s="66"/>
      <c r="AD48" s="67">
        <f t="shared" ref="AD48" si="902">AC48*$F$47</f>
        <v>0</v>
      </c>
      <c r="AE48" s="67">
        <f t="shared" ref="AE48" si="903">AC48*$G$47</f>
        <v>0</v>
      </c>
      <c r="AF48" s="45">
        <f t="shared" ref="AF48" si="904">SUM(AD48:AE48)</f>
        <v>0</v>
      </c>
      <c r="AG48" s="66"/>
      <c r="AH48" s="67">
        <f t="shared" ref="AH48" si="905">AG48*$F$47</f>
        <v>0</v>
      </c>
      <c r="AI48" s="67">
        <f t="shared" ref="AI48" si="906">AG48*$G$47</f>
        <v>0</v>
      </c>
      <c r="AJ48" s="45">
        <f t="shared" ref="AJ48" si="907">SUM(AH48:AI48)</f>
        <v>0</v>
      </c>
      <c r="AK48" s="66"/>
      <c r="AL48" s="67">
        <f t="shared" ref="AL48" si="908">AK48*$F$47</f>
        <v>0</v>
      </c>
      <c r="AM48" s="67">
        <f t="shared" ref="AM48" si="909">AK48*$G$47</f>
        <v>0</v>
      </c>
      <c r="AN48" s="45">
        <f t="shared" ref="AN48" si="910">SUM(AL48:AM48)</f>
        <v>0</v>
      </c>
      <c r="AO48" s="66"/>
      <c r="AP48" s="67">
        <f t="shared" ref="AP48" si="911">AO48*$F$47</f>
        <v>0</v>
      </c>
      <c r="AQ48" s="67">
        <f t="shared" ref="AQ48" si="912">AO48*$G$47</f>
        <v>0</v>
      </c>
      <c r="AR48" s="45">
        <f t="shared" ref="AR48" si="913">SUM(AP48:AQ48)</f>
        <v>0</v>
      </c>
      <c r="AS48" s="66"/>
      <c r="AT48" s="67">
        <f t="shared" ref="AT48" si="914">AS48*$F$47</f>
        <v>0</v>
      </c>
      <c r="AU48" s="67">
        <f t="shared" ref="AU48" si="915">AS48*$G$47</f>
        <v>0</v>
      </c>
      <c r="AV48" s="45">
        <f t="shared" ref="AV48" si="916">SUM(AT48:AU48)</f>
        <v>0</v>
      </c>
      <c r="AW48" s="66"/>
      <c r="AX48" s="67">
        <f t="shared" ref="AX48" si="917">AW48*$F$47</f>
        <v>0</v>
      </c>
      <c r="AY48" s="67">
        <f t="shared" ref="AY48" si="918">AW48*$G$47</f>
        <v>0</v>
      </c>
      <c r="AZ48" s="45">
        <f t="shared" ref="AZ48" si="919">SUM(AX48:AY48)</f>
        <v>0</v>
      </c>
      <c r="BA48" s="66"/>
      <c r="BB48" s="67">
        <f t="shared" ref="BB48" si="920">BA48*$F$47</f>
        <v>0</v>
      </c>
      <c r="BC48" s="67">
        <f t="shared" ref="BC48" si="921">BA48*$G$47</f>
        <v>0</v>
      </c>
      <c r="BD48" s="45">
        <f t="shared" ref="BD48" si="922">SUM(BB48:BC48)</f>
        <v>0</v>
      </c>
      <c r="BE48" s="66"/>
      <c r="BF48" s="44">
        <f t="shared" ref="BF48" si="923">F48*BE48</f>
        <v>0</v>
      </c>
      <c r="BG48" s="44">
        <f t="shared" ref="BG48" si="924">G48*BE48</f>
        <v>0</v>
      </c>
      <c r="BH48" s="45">
        <f t="shared" ref="BH48" si="925">BG48+BF48</f>
        <v>0</v>
      </c>
      <c r="BI48" s="66"/>
      <c r="BJ48" s="44">
        <f t="shared" ref="BJ48" si="926">BI48*F48</f>
        <v>0</v>
      </c>
      <c r="BK48" s="44"/>
      <c r="BL48" s="45">
        <f t="shared" ref="BL48" si="927">BK48+BJ48</f>
        <v>0</v>
      </c>
      <c r="BM48" s="66"/>
      <c r="BN48" s="67">
        <f t="shared" ref="BN48" si="928">BM48*F48</f>
        <v>0</v>
      </c>
      <c r="BO48" s="67"/>
      <c r="BP48" s="45">
        <f t="shared" ref="BP48" si="929">BO48+BN48</f>
        <v>0</v>
      </c>
      <c r="BQ48" s="66"/>
      <c r="BR48" s="44">
        <f t="shared" ref="BR48" si="930">BQ48*F48</f>
        <v>0</v>
      </c>
      <c r="BS48" s="67"/>
      <c r="BT48" s="45">
        <f t="shared" ref="BT48" si="931">BS48+BR48</f>
        <v>0</v>
      </c>
      <c r="BU48" s="66"/>
      <c r="BV48" s="44">
        <f t="shared" ref="BV48" si="932">F48*BU48</f>
        <v>0</v>
      </c>
      <c r="BW48" s="67"/>
      <c r="BX48" s="45">
        <f t="shared" ref="BX48" si="933">BW48+BV48</f>
        <v>0</v>
      </c>
      <c r="BY48" s="66"/>
      <c r="BZ48" s="44">
        <f t="shared" ref="BZ48" si="934">BY48*J48</f>
        <v>0</v>
      </c>
      <c r="CA48" s="67"/>
      <c r="CB48" s="45">
        <f t="shared" ref="CB48" si="935">CA48+BZ48</f>
        <v>0</v>
      </c>
      <c r="CC48" s="66"/>
      <c r="CD48" s="44">
        <f t="shared" ref="CD48" si="936">CC48*N48</f>
        <v>0</v>
      </c>
      <c r="CE48" s="67"/>
      <c r="CF48" s="45">
        <f t="shared" ref="CF48" si="937">CE48+CD48</f>
        <v>0</v>
      </c>
      <c r="CG48" s="136"/>
      <c r="CH48" s="91">
        <f t="shared" ref="CH48" si="938">I48+M48+Q48+U48+Y48+AC48+AG48+AK48+AO48+BA48+BE48+BI48+BM48+BQ48+BU48+BY48+CC48</f>
        <v>0</v>
      </c>
      <c r="CI48" s="47">
        <f t="shared" ref="CI48" si="939">CH48*F48</f>
        <v>0</v>
      </c>
      <c r="CJ48" s="47">
        <f t="shared" ref="CJ48" si="940">CH48*G48</f>
        <v>0</v>
      </c>
      <c r="CK48" s="48">
        <f t="shared" ref="CK48" si="941">SUM(CI48:CJ48)</f>
        <v>0</v>
      </c>
      <c r="CL48" s="49">
        <f t="shared" ref="CL48" si="942">D48-CH48</f>
        <v>4</v>
      </c>
      <c r="CM48" s="50">
        <f t="shared" ref="CM48" si="943">H48-CK48</f>
        <v>10000</v>
      </c>
      <c r="CO48" s="65"/>
      <c r="CP48" s="65"/>
    </row>
    <row r="49" spans="1:94" ht="26.25" customHeight="1" x14ac:dyDescent="0.25">
      <c r="A49" s="32"/>
      <c r="B49" s="74">
        <v>34</v>
      </c>
      <c r="C49" s="113" t="s">
        <v>49</v>
      </c>
      <c r="D49" s="112">
        <v>4</v>
      </c>
      <c r="E49" s="130">
        <f>D49-I49-M49-Q49-U49-Y49-AC49-AK49-AO49-AS49-AW49-BA49-BE49-BI49-1</f>
        <v>3</v>
      </c>
      <c r="F49" s="44">
        <f t="shared" si="858"/>
        <v>8000</v>
      </c>
      <c r="G49" s="116"/>
      <c r="H49" s="45">
        <f>H44*0.16</f>
        <v>32000</v>
      </c>
      <c r="I49" s="66"/>
      <c r="J49" s="67">
        <f>I49*$F$49</f>
        <v>0</v>
      </c>
      <c r="K49" s="67">
        <f>I49*$G$49</f>
        <v>0</v>
      </c>
      <c r="L49" s="45">
        <f t="shared" si="753"/>
        <v>0</v>
      </c>
      <c r="M49" s="66"/>
      <c r="N49" s="67">
        <f t="shared" ref="N49" si="944">M49*$F$49</f>
        <v>0</v>
      </c>
      <c r="O49" s="67">
        <f t="shared" ref="O49" si="945">M49*$G$49</f>
        <v>0</v>
      </c>
      <c r="P49" s="45">
        <f t="shared" si="756"/>
        <v>0</v>
      </c>
      <c r="Q49" s="66"/>
      <c r="R49" s="67">
        <f t="shared" ref="R49" si="946">Q49*$F$49</f>
        <v>0</v>
      </c>
      <c r="S49" s="67">
        <f t="shared" ref="S49" si="947">Q49*$G$49</f>
        <v>0</v>
      </c>
      <c r="T49" s="45">
        <f t="shared" si="759"/>
        <v>0</v>
      </c>
      <c r="U49" s="66"/>
      <c r="V49" s="67">
        <f t="shared" ref="V49" si="948">U49*$F$49</f>
        <v>0</v>
      </c>
      <c r="W49" s="67">
        <f t="shared" ref="W49" si="949">U49*$G$49</f>
        <v>0</v>
      </c>
      <c r="X49" s="45">
        <f t="shared" si="762"/>
        <v>0</v>
      </c>
      <c r="Y49" s="66"/>
      <c r="Z49" s="67">
        <f t="shared" ref="Z49" si="950">Y49*$F$49</f>
        <v>0</v>
      </c>
      <c r="AA49" s="67">
        <f t="shared" ref="AA49" si="951">Y49*$G$49</f>
        <v>0</v>
      </c>
      <c r="AB49" s="45">
        <f t="shared" si="765"/>
        <v>0</v>
      </c>
      <c r="AC49" s="66"/>
      <c r="AD49" s="67">
        <f t="shared" ref="AD49" si="952">AC49*$F$49</f>
        <v>0</v>
      </c>
      <c r="AE49" s="67">
        <f t="shared" ref="AE49" si="953">AC49*$G$49</f>
        <v>0</v>
      </c>
      <c r="AF49" s="45">
        <f t="shared" si="768"/>
        <v>0</v>
      </c>
      <c r="AG49" s="66"/>
      <c r="AH49" s="67">
        <f t="shared" ref="AH49" si="954">AG49*$F$49</f>
        <v>0</v>
      </c>
      <c r="AI49" s="67">
        <f t="shared" ref="AI49" si="955">AG49*$G$49</f>
        <v>0</v>
      </c>
      <c r="AJ49" s="45">
        <f t="shared" si="771"/>
        <v>0</v>
      </c>
      <c r="AK49" s="66"/>
      <c r="AL49" s="67">
        <f t="shared" ref="AL49" si="956">AK49*$F$49</f>
        <v>0</v>
      </c>
      <c r="AM49" s="67">
        <f t="shared" ref="AM49" si="957">AK49*$G$49</f>
        <v>0</v>
      </c>
      <c r="AN49" s="45">
        <f t="shared" si="774"/>
        <v>0</v>
      </c>
      <c r="AO49" s="66"/>
      <c r="AP49" s="67">
        <f t="shared" ref="AP49" si="958">AO49*$F$49</f>
        <v>0</v>
      </c>
      <c r="AQ49" s="67">
        <f t="shared" ref="AQ49" si="959">AO49*$G$49</f>
        <v>0</v>
      </c>
      <c r="AR49" s="45">
        <f t="shared" si="777"/>
        <v>0</v>
      </c>
      <c r="AS49" s="66"/>
      <c r="AT49" s="67">
        <f t="shared" ref="AT49" si="960">AS49*$F$49</f>
        <v>0</v>
      </c>
      <c r="AU49" s="67">
        <f t="shared" ref="AU49" si="961">AS49*$G$49</f>
        <v>0</v>
      </c>
      <c r="AV49" s="45">
        <f t="shared" si="780"/>
        <v>0</v>
      </c>
      <c r="AW49" s="66"/>
      <c r="AX49" s="67">
        <f t="shared" ref="AX49" si="962">AW49*$F$49</f>
        <v>0</v>
      </c>
      <c r="AY49" s="67">
        <f t="shared" ref="AY49" si="963">AW49*$G$49</f>
        <v>0</v>
      </c>
      <c r="AZ49" s="45">
        <f t="shared" si="783"/>
        <v>0</v>
      </c>
      <c r="BA49" s="66"/>
      <c r="BB49" s="67">
        <f t="shared" ref="BB49" si="964">BA49*$F$49</f>
        <v>0</v>
      </c>
      <c r="BC49" s="67">
        <f t="shared" ref="BC49" si="965">BA49*$G$49</f>
        <v>0</v>
      </c>
      <c r="BD49" s="45">
        <f t="shared" si="786"/>
        <v>0</v>
      </c>
      <c r="BE49" s="66"/>
      <c r="BF49" s="44">
        <f t="shared" si="881"/>
        <v>0</v>
      </c>
      <c r="BG49" s="44">
        <f t="shared" si="882"/>
        <v>0</v>
      </c>
      <c r="BH49" s="45">
        <f t="shared" si="883"/>
        <v>0</v>
      </c>
      <c r="BI49" s="66"/>
      <c r="BJ49" s="44">
        <f t="shared" si="884"/>
        <v>0</v>
      </c>
      <c r="BK49" s="44"/>
      <c r="BL49" s="45">
        <f t="shared" si="885"/>
        <v>0</v>
      </c>
      <c r="BM49" s="66"/>
      <c r="BN49" s="67">
        <f t="shared" si="792"/>
        <v>0</v>
      </c>
      <c r="BO49" s="67"/>
      <c r="BP49" s="45">
        <f t="shared" si="886"/>
        <v>0</v>
      </c>
      <c r="BQ49" s="66"/>
      <c r="BR49" s="44">
        <f t="shared" si="794"/>
        <v>0</v>
      </c>
      <c r="BS49" s="67"/>
      <c r="BT49" s="45">
        <f t="shared" si="795"/>
        <v>0</v>
      </c>
      <c r="BU49" s="66"/>
      <c r="BV49" s="44">
        <f t="shared" si="796"/>
        <v>0</v>
      </c>
      <c r="BW49" s="67"/>
      <c r="BX49" s="45">
        <f t="shared" si="797"/>
        <v>0</v>
      </c>
      <c r="BY49" s="66"/>
      <c r="BZ49" s="44">
        <f t="shared" si="798"/>
        <v>0</v>
      </c>
      <c r="CA49" s="67"/>
      <c r="CB49" s="45">
        <f t="shared" si="799"/>
        <v>0</v>
      </c>
      <c r="CC49" s="66"/>
      <c r="CD49" s="44">
        <f t="shared" si="800"/>
        <v>0</v>
      </c>
      <c r="CE49" s="67"/>
      <c r="CF49" s="45">
        <f t="shared" si="801"/>
        <v>0</v>
      </c>
      <c r="CG49" s="136"/>
      <c r="CH49" s="91">
        <f t="shared" si="752"/>
        <v>0</v>
      </c>
      <c r="CI49" s="47">
        <f t="shared" si="538"/>
        <v>0</v>
      </c>
      <c r="CJ49" s="47">
        <f t="shared" si="449"/>
        <v>0</v>
      </c>
      <c r="CK49" s="48">
        <f t="shared" si="639"/>
        <v>0</v>
      </c>
      <c r="CL49" s="49">
        <f t="shared" si="450"/>
        <v>4</v>
      </c>
      <c r="CM49" s="50">
        <f t="shared" si="451"/>
        <v>32000</v>
      </c>
      <c r="CO49" s="65"/>
      <c r="CP49" s="65"/>
    </row>
    <row r="50" spans="1:94" ht="26.25" customHeight="1" x14ac:dyDescent="0.25">
      <c r="A50" s="32"/>
      <c r="B50" s="74">
        <v>35</v>
      </c>
      <c r="C50" s="113" t="s">
        <v>50</v>
      </c>
      <c r="D50" s="112">
        <v>4</v>
      </c>
      <c r="E50" s="130">
        <f>D50-I50-M50-Q50-U50-Y50-AC50-AK50-AO50-AS50-AW50-BA50-BE50-BI50-1</f>
        <v>3</v>
      </c>
      <c r="F50" s="44">
        <f t="shared" si="858"/>
        <v>6000</v>
      </c>
      <c r="G50" s="116"/>
      <c r="H50" s="45">
        <f>H44*0.12</f>
        <v>24000</v>
      </c>
      <c r="I50" s="66"/>
      <c r="J50" s="67">
        <f>I50*$F$50</f>
        <v>0</v>
      </c>
      <c r="K50" s="67">
        <f>I50*$G$50</f>
        <v>0</v>
      </c>
      <c r="L50" s="45">
        <f t="shared" si="753"/>
        <v>0</v>
      </c>
      <c r="M50" s="66"/>
      <c r="N50" s="67">
        <f t="shared" ref="N50" si="966">M50*$F$50</f>
        <v>0</v>
      </c>
      <c r="O50" s="67">
        <f t="shared" ref="O50" si="967">M50*$G$50</f>
        <v>0</v>
      </c>
      <c r="P50" s="45">
        <f t="shared" si="756"/>
        <v>0</v>
      </c>
      <c r="Q50" s="66"/>
      <c r="R50" s="67">
        <f t="shared" ref="R50" si="968">Q50*$F$50</f>
        <v>0</v>
      </c>
      <c r="S50" s="67">
        <f t="shared" ref="S50" si="969">Q50*$G$50</f>
        <v>0</v>
      </c>
      <c r="T50" s="45">
        <f t="shared" si="759"/>
        <v>0</v>
      </c>
      <c r="U50" s="66"/>
      <c r="V50" s="67">
        <f t="shared" ref="V50" si="970">U50*$F$50</f>
        <v>0</v>
      </c>
      <c r="W50" s="67">
        <f t="shared" ref="W50" si="971">U50*$G$50</f>
        <v>0</v>
      </c>
      <c r="X50" s="45">
        <f t="shared" si="762"/>
        <v>0</v>
      </c>
      <c r="Y50" s="66"/>
      <c r="Z50" s="67">
        <f t="shared" ref="Z50" si="972">Y50*$F$50</f>
        <v>0</v>
      </c>
      <c r="AA50" s="67">
        <f t="shared" ref="AA50" si="973">Y50*$G$50</f>
        <v>0</v>
      </c>
      <c r="AB50" s="45">
        <f t="shared" si="765"/>
        <v>0</v>
      </c>
      <c r="AC50" s="66"/>
      <c r="AD50" s="67">
        <f t="shared" ref="AD50" si="974">AC50*$F$50</f>
        <v>0</v>
      </c>
      <c r="AE50" s="67">
        <f t="shared" ref="AE50" si="975">AC50*$G$50</f>
        <v>0</v>
      </c>
      <c r="AF50" s="45">
        <f t="shared" si="768"/>
        <v>0</v>
      </c>
      <c r="AG50" s="66"/>
      <c r="AH50" s="67">
        <f t="shared" ref="AH50" si="976">AG50*$F$50</f>
        <v>0</v>
      </c>
      <c r="AI50" s="67">
        <f t="shared" ref="AI50" si="977">AG50*$G$50</f>
        <v>0</v>
      </c>
      <c r="AJ50" s="45">
        <f t="shared" si="771"/>
        <v>0</v>
      </c>
      <c r="AK50" s="66"/>
      <c r="AL50" s="67">
        <f t="shared" ref="AL50" si="978">AK50*$F$50</f>
        <v>0</v>
      </c>
      <c r="AM50" s="67">
        <f t="shared" ref="AM50" si="979">AK50*$G$50</f>
        <v>0</v>
      </c>
      <c r="AN50" s="45">
        <f t="shared" si="774"/>
        <v>0</v>
      </c>
      <c r="AO50" s="66"/>
      <c r="AP50" s="67">
        <f t="shared" ref="AP50" si="980">AO50*$F$50</f>
        <v>0</v>
      </c>
      <c r="AQ50" s="67">
        <f t="shared" ref="AQ50" si="981">AO50*$G$50</f>
        <v>0</v>
      </c>
      <c r="AR50" s="45">
        <f t="shared" si="777"/>
        <v>0</v>
      </c>
      <c r="AS50" s="66"/>
      <c r="AT50" s="67">
        <f t="shared" ref="AT50" si="982">AS50*$F$50</f>
        <v>0</v>
      </c>
      <c r="AU50" s="67">
        <f t="shared" ref="AU50" si="983">AS50*$G$50</f>
        <v>0</v>
      </c>
      <c r="AV50" s="45">
        <f t="shared" si="780"/>
        <v>0</v>
      </c>
      <c r="AW50" s="66"/>
      <c r="AX50" s="67">
        <f t="shared" ref="AX50" si="984">AW50*$F$50</f>
        <v>0</v>
      </c>
      <c r="AY50" s="67">
        <f t="shared" ref="AY50" si="985">AW50*$G$50</f>
        <v>0</v>
      </c>
      <c r="AZ50" s="45">
        <f t="shared" si="783"/>
        <v>0</v>
      </c>
      <c r="BA50" s="66"/>
      <c r="BB50" s="67">
        <f t="shared" ref="BB50" si="986">BA50*$F$50</f>
        <v>0</v>
      </c>
      <c r="BC50" s="67">
        <f t="shared" ref="BC50" si="987">BA50*$G$50</f>
        <v>0</v>
      </c>
      <c r="BD50" s="45">
        <f t="shared" si="786"/>
        <v>0</v>
      </c>
      <c r="BE50" s="66"/>
      <c r="BF50" s="44">
        <f t="shared" si="881"/>
        <v>0</v>
      </c>
      <c r="BG50" s="44">
        <f t="shared" si="882"/>
        <v>0</v>
      </c>
      <c r="BH50" s="45">
        <f t="shared" si="883"/>
        <v>0</v>
      </c>
      <c r="BI50" s="66"/>
      <c r="BJ50" s="44">
        <f t="shared" si="884"/>
        <v>0</v>
      </c>
      <c r="BK50" s="44"/>
      <c r="BL50" s="45">
        <f t="shared" si="885"/>
        <v>0</v>
      </c>
      <c r="BM50" s="66"/>
      <c r="BN50" s="67">
        <f t="shared" si="792"/>
        <v>0</v>
      </c>
      <c r="BO50" s="67"/>
      <c r="BP50" s="45">
        <f t="shared" si="886"/>
        <v>0</v>
      </c>
      <c r="BQ50" s="66"/>
      <c r="BR50" s="44">
        <f t="shared" si="794"/>
        <v>0</v>
      </c>
      <c r="BS50" s="67"/>
      <c r="BT50" s="45">
        <f t="shared" si="795"/>
        <v>0</v>
      </c>
      <c r="BU50" s="66"/>
      <c r="BV50" s="44">
        <f t="shared" si="796"/>
        <v>0</v>
      </c>
      <c r="BW50" s="67"/>
      <c r="BX50" s="45">
        <f t="shared" si="797"/>
        <v>0</v>
      </c>
      <c r="BY50" s="66"/>
      <c r="BZ50" s="44">
        <f t="shared" si="798"/>
        <v>0</v>
      </c>
      <c r="CA50" s="67"/>
      <c r="CB50" s="45">
        <f t="shared" si="799"/>
        <v>0</v>
      </c>
      <c r="CC50" s="66"/>
      <c r="CD50" s="44">
        <f t="shared" si="800"/>
        <v>0</v>
      </c>
      <c r="CE50" s="67"/>
      <c r="CF50" s="45">
        <f t="shared" si="801"/>
        <v>0</v>
      </c>
      <c r="CG50" s="136"/>
      <c r="CH50" s="91">
        <f t="shared" si="752"/>
        <v>0</v>
      </c>
      <c r="CI50" s="47">
        <f t="shared" si="538"/>
        <v>0</v>
      </c>
      <c r="CJ50" s="47">
        <f t="shared" si="449"/>
        <v>0</v>
      </c>
      <c r="CK50" s="48">
        <f t="shared" si="639"/>
        <v>0</v>
      </c>
      <c r="CL50" s="49">
        <f t="shared" si="450"/>
        <v>4</v>
      </c>
      <c r="CM50" s="50">
        <f t="shared" si="451"/>
        <v>24000</v>
      </c>
      <c r="CO50" s="65"/>
      <c r="CP50" s="65"/>
    </row>
    <row r="51" spans="1:94" ht="26.25" customHeight="1" x14ac:dyDescent="0.25">
      <c r="A51" s="32"/>
      <c r="B51" s="74">
        <v>36</v>
      </c>
      <c r="C51" s="113" t="s">
        <v>51</v>
      </c>
      <c r="D51" s="112">
        <v>4</v>
      </c>
      <c r="E51" s="130">
        <f t="shared" si="857"/>
        <v>4</v>
      </c>
      <c r="F51" s="44">
        <f t="shared" si="858"/>
        <v>2000</v>
      </c>
      <c r="G51" s="116"/>
      <c r="H51" s="45">
        <f>H44*0.04</f>
        <v>8000</v>
      </c>
      <c r="I51" s="66"/>
      <c r="J51" s="67">
        <f>I51*$F$51</f>
        <v>0</v>
      </c>
      <c r="K51" s="67">
        <f>I51*$G$51</f>
        <v>0</v>
      </c>
      <c r="L51" s="45">
        <f t="shared" si="753"/>
        <v>0</v>
      </c>
      <c r="M51" s="66"/>
      <c r="N51" s="67">
        <f t="shared" ref="N51" si="988">M51*$F$51</f>
        <v>0</v>
      </c>
      <c r="O51" s="67">
        <f t="shared" ref="O51" si="989">M51*$G$51</f>
        <v>0</v>
      </c>
      <c r="P51" s="45">
        <f t="shared" si="756"/>
        <v>0</v>
      </c>
      <c r="Q51" s="66"/>
      <c r="R51" s="67">
        <f t="shared" ref="R51" si="990">Q51*$F$51</f>
        <v>0</v>
      </c>
      <c r="S51" s="67">
        <f t="shared" ref="S51" si="991">Q51*$G$51</f>
        <v>0</v>
      </c>
      <c r="T51" s="45">
        <f t="shared" si="759"/>
        <v>0</v>
      </c>
      <c r="U51" s="66"/>
      <c r="V51" s="67">
        <f t="shared" ref="V51" si="992">U51*$F$51</f>
        <v>0</v>
      </c>
      <c r="W51" s="67">
        <f t="shared" ref="W51" si="993">U51*$G$51</f>
        <v>0</v>
      </c>
      <c r="X51" s="45">
        <f t="shared" si="762"/>
        <v>0</v>
      </c>
      <c r="Y51" s="66"/>
      <c r="Z51" s="67">
        <f t="shared" ref="Z51" si="994">Y51*$F$51</f>
        <v>0</v>
      </c>
      <c r="AA51" s="67">
        <f t="shared" ref="AA51" si="995">Y51*$G$51</f>
        <v>0</v>
      </c>
      <c r="AB51" s="45">
        <f t="shared" si="765"/>
        <v>0</v>
      </c>
      <c r="AC51" s="66"/>
      <c r="AD51" s="67">
        <f t="shared" ref="AD51" si="996">AC51*$F$51</f>
        <v>0</v>
      </c>
      <c r="AE51" s="67">
        <f t="shared" ref="AE51" si="997">AC51*$G$51</f>
        <v>0</v>
      </c>
      <c r="AF51" s="45">
        <f t="shared" si="768"/>
        <v>0</v>
      </c>
      <c r="AG51" s="66"/>
      <c r="AH51" s="67">
        <f t="shared" ref="AH51" si="998">AG51*$F$51</f>
        <v>0</v>
      </c>
      <c r="AI51" s="67">
        <f t="shared" ref="AI51" si="999">AG51*$G$51</f>
        <v>0</v>
      </c>
      <c r="AJ51" s="45">
        <f t="shared" si="771"/>
        <v>0</v>
      </c>
      <c r="AK51" s="66"/>
      <c r="AL51" s="67">
        <f t="shared" ref="AL51" si="1000">AK51*$F$51</f>
        <v>0</v>
      </c>
      <c r="AM51" s="67">
        <f t="shared" ref="AM51" si="1001">AK51*$G$51</f>
        <v>0</v>
      </c>
      <c r="AN51" s="45">
        <f t="shared" si="774"/>
        <v>0</v>
      </c>
      <c r="AO51" s="66"/>
      <c r="AP51" s="67">
        <f t="shared" ref="AP51" si="1002">AO51*$F$51</f>
        <v>0</v>
      </c>
      <c r="AQ51" s="67">
        <f t="shared" ref="AQ51" si="1003">AO51*$G$51</f>
        <v>0</v>
      </c>
      <c r="AR51" s="45">
        <f t="shared" si="777"/>
        <v>0</v>
      </c>
      <c r="AS51" s="66"/>
      <c r="AT51" s="67">
        <f t="shared" ref="AT51" si="1004">AS51*$F$51</f>
        <v>0</v>
      </c>
      <c r="AU51" s="67">
        <f t="shared" ref="AU51" si="1005">AS51*$G$51</f>
        <v>0</v>
      </c>
      <c r="AV51" s="45">
        <f t="shared" si="780"/>
        <v>0</v>
      </c>
      <c r="AW51" s="66"/>
      <c r="AX51" s="67">
        <f t="shared" ref="AX51" si="1006">AW51*$F$51</f>
        <v>0</v>
      </c>
      <c r="AY51" s="67">
        <f t="shared" ref="AY51" si="1007">AW51*$G$51</f>
        <v>0</v>
      </c>
      <c r="AZ51" s="45">
        <f t="shared" si="783"/>
        <v>0</v>
      </c>
      <c r="BA51" s="66"/>
      <c r="BB51" s="67">
        <f t="shared" ref="BB51" si="1008">BA51*$F$51</f>
        <v>0</v>
      </c>
      <c r="BC51" s="67">
        <f t="shared" ref="BC51" si="1009">BA51*$G$51</f>
        <v>0</v>
      </c>
      <c r="BD51" s="45">
        <f t="shared" si="786"/>
        <v>0</v>
      </c>
      <c r="BE51" s="66"/>
      <c r="BF51" s="44">
        <f t="shared" si="881"/>
        <v>0</v>
      </c>
      <c r="BG51" s="44">
        <f t="shared" si="882"/>
        <v>0</v>
      </c>
      <c r="BH51" s="45">
        <f t="shared" si="883"/>
        <v>0</v>
      </c>
      <c r="BI51" s="66"/>
      <c r="BJ51" s="44">
        <f t="shared" si="884"/>
        <v>0</v>
      </c>
      <c r="BK51" s="44"/>
      <c r="BL51" s="45">
        <f t="shared" si="885"/>
        <v>0</v>
      </c>
      <c r="BM51" s="66"/>
      <c r="BN51" s="67">
        <f t="shared" si="792"/>
        <v>0</v>
      </c>
      <c r="BO51" s="67"/>
      <c r="BP51" s="45">
        <f t="shared" si="886"/>
        <v>0</v>
      </c>
      <c r="BQ51" s="66"/>
      <c r="BR51" s="44">
        <f t="shared" si="794"/>
        <v>0</v>
      </c>
      <c r="BS51" s="67"/>
      <c r="BT51" s="45">
        <f t="shared" si="795"/>
        <v>0</v>
      </c>
      <c r="BU51" s="66"/>
      <c r="BV51" s="44">
        <f t="shared" si="796"/>
        <v>0</v>
      </c>
      <c r="BW51" s="67"/>
      <c r="BX51" s="45">
        <f t="shared" si="797"/>
        <v>0</v>
      </c>
      <c r="BY51" s="66"/>
      <c r="BZ51" s="44">
        <f t="shared" si="798"/>
        <v>0</v>
      </c>
      <c r="CA51" s="67"/>
      <c r="CB51" s="45">
        <f t="shared" si="799"/>
        <v>0</v>
      </c>
      <c r="CC51" s="66"/>
      <c r="CD51" s="44">
        <f t="shared" si="800"/>
        <v>0</v>
      </c>
      <c r="CE51" s="67"/>
      <c r="CF51" s="45">
        <f t="shared" si="801"/>
        <v>0</v>
      </c>
      <c r="CG51" s="136"/>
      <c r="CH51" s="91">
        <f t="shared" si="752"/>
        <v>0</v>
      </c>
      <c r="CI51" s="47">
        <f t="shared" si="538"/>
        <v>0</v>
      </c>
      <c r="CJ51" s="47">
        <f t="shared" si="449"/>
        <v>0</v>
      </c>
      <c r="CK51" s="48">
        <f t="shared" si="639"/>
        <v>0</v>
      </c>
      <c r="CL51" s="49">
        <f t="shared" si="450"/>
        <v>4</v>
      </c>
      <c r="CM51" s="50">
        <f t="shared" si="451"/>
        <v>8000</v>
      </c>
      <c r="CO51" s="65"/>
      <c r="CP51" s="65"/>
    </row>
    <row r="52" spans="1:94" ht="26.25" customHeight="1" x14ac:dyDescent="0.25">
      <c r="A52" s="32"/>
      <c r="B52" s="74">
        <v>37</v>
      </c>
      <c r="C52" s="113" t="s">
        <v>52</v>
      </c>
      <c r="D52" s="112">
        <v>4</v>
      </c>
      <c r="E52" s="130">
        <f>D52-I52-M52-Q52-U52-Y52-AC52-AK52-AO52-AS52-AW52-BA52-BE52-BI52</f>
        <v>4</v>
      </c>
      <c r="F52" s="44">
        <f t="shared" si="858"/>
        <v>2000</v>
      </c>
      <c r="G52" s="116"/>
      <c r="H52" s="45">
        <f>H44*0.04</f>
        <v>8000</v>
      </c>
      <c r="I52" s="66"/>
      <c r="J52" s="67">
        <f>I52*$F$52</f>
        <v>0</v>
      </c>
      <c r="K52" s="67">
        <f>I52*$G$52</f>
        <v>0</v>
      </c>
      <c r="L52" s="45">
        <f t="shared" si="753"/>
        <v>0</v>
      </c>
      <c r="M52" s="66"/>
      <c r="N52" s="67">
        <f t="shared" ref="N52" si="1010">M52*$F$52</f>
        <v>0</v>
      </c>
      <c r="O52" s="67">
        <f t="shared" ref="O52" si="1011">M52*$G$52</f>
        <v>0</v>
      </c>
      <c r="P52" s="45">
        <f t="shared" si="756"/>
        <v>0</v>
      </c>
      <c r="Q52" s="66"/>
      <c r="R52" s="67">
        <f t="shared" ref="R52" si="1012">Q52*$F$52</f>
        <v>0</v>
      </c>
      <c r="S52" s="67">
        <f t="shared" ref="S52" si="1013">Q52*$G$52</f>
        <v>0</v>
      </c>
      <c r="T52" s="45">
        <f t="shared" si="759"/>
        <v>0</v>
      </c>
      <c r="U52" s="66"/>
      <c r="V52" s="67">
        <f t="shared" ref="V52" si="1014">U52*$F$52</f>
        <v>0</v>
      </c>
      <c r="W52" s="67">
        <f t="shared" ref="W52" si="1015">U52*$G$52</f>
        <v>0</v>
      </c>
      <c r="X52" s="45">
        <f t="shared" si="762"/>
        <v>0</v>
      </c>
      <c r="Y52" s="66"/>
      <c r="Z52" s="67">
        <f t="shared" ref="Z52" si="1016">Y52*$F$52</f>
        <v>0</v>
      </c>
      <c r="AA52" s="67">
        <f t="shared" ref="AA52" si="1017">Y52*$G$52</f>
        <v>0</v>
      </c>
      <c r="AB52" s="45">
        <f t="shared" si="765"/>
        <v>0</v>
      </c>
      <c r="AC52" s="66"/>
      <c r="AD52" s="67">
        <f t="shared" ref="AD52" si="1018">AC52*$F$52</f>
        <v>0</v>
      </c>
      <c r="AE52" s="67">
        <f t="shared" ref="AE52" si="1019">AC52*$G$52</f>
        <v>0</v>
      </c>
      <c r="AF52" s="45">
        <f t="shared" si="768"/>
        <v>0</v>
      </c>
      <c r="AG52" s="66"/>
      <c r="AH52" s="67">
        <f t="shared" ref="AH52" si="1020">AG52*$F$52</f>
        <v>0</v>
      </c>
      <c r="AI52" s="67">
        <f t="shared" ref="AI52" si="1021">AG52*$G$52</f>
        <v>0</v>
      </c>
      <c r="AJ52" s="45">
        <f t="shared" si="771"/>
        <v>0</v>
      </c>
      <c r="AK52" s="66"/>
      <c r="AL52" s="67">
        <f t="shared" ref="AL52" si="1022">AK52*$F$52</f>
        <v>0</v>
      </c>
      <c r="AM52" s="67">
        <f t="shared" ref="AM52" si="1023">AK52*$G$52</f>
        <v>0</v>
      </c>
      <c r="AN52" s="45">
        <f t="shared" si="774"/>
        <v>0</v>
      </c>
      <c r="AO52" s="66"/>
      <c r="AP52" s="67">
        <f t="shared" ref="AP52" si="1024">AO52*$F$52</f>
        <v>0</v>
      </c>
      <c r="AQ52" s="67">
        <f t="shared" ref="AQ52" si="1025">AO52*$G$52</f>
        <v>0</v>
      </c>
      <c r="AR52" s="45">
        <f t="shared" si="777"/>
        <v>0</v>
      </c>
      <c r="AS52" s="66"/>
      <c r="AT52" s="67">
        <f t="shared" ref="AT52" si="1026">AS52*$F$52</f>
        <v>0</v>
      </c>
      <c r="AU52" s="67">
        <f t="shared" ref="AU52" si="1027">AS52*$G$52</f>
        <v>0</v>
      </c>
      <c r="AV52" s="45">
        <f t="shared" si="780"/>
        <v>0</v>
      </c>
      <c r="AW52" s="66"/>
      <c r="AX52" s="67">
        <f t="shared" ref="AX52" si="1028">AW52*$F$52</f>
        <v>0</v>
      </c>
      <c r="AY52" s="67">
        <f t="shared" ref="AY52" si="1029">AW52*$G$52</f>
        <v>0</v>
      </c>
      <c r="AZ52" s="45">
        <f t="shared" si="783"/>
        <v>0</v>
      </c>
      <c r="BA52" s="66"/>
      <c r="BB52" s="67">
        <f t="shared" ref="BB52" si="1030">BA52*$F$52</f>
        <v>0</v>
      </c>
      <c r="BC52" s="67">
        <f t="shared" ref="BC52" si="1031">BA52*$G$52</f>
        <v>0</v>
      </c>
      <c r="BD52" s="45">
        <f t="shared" si="786"/>
        <v>0</v>
      </c>
      <c r="BE52" s="66"/>
      <c r="BF52" s="44">
        <f t="shared" si="881"/>
        <v>0</v>
      </c>
      <c r="BG52" s="44">
        <f t="shared" si="882"/>
        <v>0</v>
      </c>
      <c r="BH52" s="45">
        <f t="shared" si="883"/>
        <v>0</v>
      </c>
      <c r="BI52" s="66"/>
      <c r="BJ52" s="44">
        <f t="shared" si="884"/>
        <v>0</v>
      </c>
      <c r="BK52" s="44"/>
      <c r="BL52" s="45">
        <f t="shared" si="885"/>
        <v>0</v>
      </c>
      <c r="BM52" s="66"/>
      <c r="BN52" s="67">
        <f t="shared" si="792"/>
        <v>0</v>
      </c>
      <c r="BO52" s="67"/>
      <c r="BP52" s="45">
        <f t="shared" si="886"/>
        <v>0</v>
      </c>
      <c r="BQ52" s="66"/>
      <c r="BR52" s="44">
        <f t="shared" si="794"/>
        <v>0</v>
      </c>
      <c r="BS52" s="67"/>
      <c r="BT52" s="45">
        <f t="shared" si="795"/>
        <v>0</v>
      </c>
      <c r="BU52" s="66"/>
      <c r="BV52" s="44">
        <f t="shared" si="796"/>
        <v>0</v>
      </c>
      <c r="BW52" s="67"/>
      <c r="BX52" s="45">
        <f t="shared" si="797"/>
        <v>0</v>
      </c>
      <c r="BY52" s="66"/>
      <c r="BZ52" s="44">
        <f t="shared" si="798"/>
        <v>0</v>
      </c>
      <c r="CA52" s="67"/>
      <c r="CB52" s="45">
        <f t="shared" si="799"/>
        <v>0</v>
      </c>
      <c r="CC52" s="66"/>
      <c r="CD52" s="44">
        <f t="shared" si="800"/>
        <v>0</v>
      </c>
      <c r="CE52" s="67"/>
      <c r="CF52" s="45">
        <f t="shared" si="801"/>
        <v>0</v>
      </c>
      <c r="CG52" s="136"/>
      <c r="CH52" s="91">
        <f t="shared" si="752"/>
        <v>0</v>
      </c>
      <c r="CI52" s="47">
        <f t="shared" si="538"/>
        <v>0</v>
      </c>
      <c r="CJ52" s="47">
        <f t="shared" si="449"/>
        <v>0</v>
      </c>
      <c r="CK52" s="48">
        <f t="shared" si="639"/>
        <v>0</v>
      </c>
      <c r="CL52" s="49">
        <f t="shared" si="450"/>
        <v>4</v>
      </c>
      <c r="CM52" s="50">
        <f t="shared" si="451"/>
        <v>8000</v>
      </c>
      <c r="CO52" s="65"/>
      <c r="CP52" s="65"/>
    </row>
    <row r="53" spans="1:94" ht="26.25" customHeight="1" x14ac:dyDescent="0.25">
      <c r="A53" s="32"/>
      <c r="B53" s="74">
        <v>38</v>
      </c>
      <c r="C53" s="113" t="s">
        <v>53</v>
      </c>
      <c r="D53" s="112">
        <v>4</v>
      </c>
      <c r="E53" s="130">
        <f>D53-I53-M53-Q53-U53-Y53-AC53-AK53-AO53-AS53-AW53-BA53-BE53-BI53</f>
        <v>4</v>
      </c>
      <c r="F53" s="44">
        <f t="shared" si="858"/>
        <v>7500</v>
      </c>
      <c r="G53" s="116"/>
      <c r="H53" s="45">
        <f>H44*0.15</f>
        <v>30000</v>
      </c>
      <c r="I53" s="66"/>
      <c r="J53" s="67">
        <f>I53*$F$53</f>
        <v>0</v>
      </c>
      <c r="K53" s="67">
        <f>I53*$G$53</f>
        <v>0</v>
      </c>
      <c r="L53" s="45">
        <f t="shared" si="753"/>
        <v>0</v>
      </c>
      <c r="M53" s="66"/>
      <c r="N53" s="67">
        <f t="shared" ref="N53" si="1032">M53*$F$53</f>
        <v>0</v>
      </c>
      <c r="O53" s="67">
        <f t="shared" ref="O53" si="1033">M53*$G$53</f>
        <v>0</v>
      </c>
      <c r="P53" s="45">
        <f t="shared" si="756"/>
        <v>0</v>
      </c>
      <c r="Q53" s="66"/>
      <c r="R53" s="67">
        <f t="shared" ref="R53" si="1034">Q53*$F$53</f>
        <v>0</v>
      </c>
      <c r="S53" s="67">
        <f t="shared" ref="S53" si="1035">Q53*$G$53</f>
        <v>0</v>
      </c>
      <c r="T53" s="45">
        <f t="shared" si="759"/>
        <v>0</v>
      </c>
      <c r="U53" s="66"/>
      <c r="V53" s="67">
        <f t="shared" ref="V53" si="1036">U53*$F$53</f>
        <v>0</v>
      </c>
      <c r="W53" s="67">
        <f t="shared" ref="W53" si="1037">U53*$G$53</f>
        <v>0</v>
      </c>
      <c r="X53" s="45">
        <f t="shared" si="762"/>
        <v>0</v>
      </c>
      <c r="Y53" s="66"/>
      <c r="Z53" s="67">
        <f t="shared" ref="Z53" si="1038">Y53*$F$53</f>
        <v>0</v>
      </c>
      <c r="AA53" s="67">
        <f t="shared" ref="AA53" si="1039">Y53*$G$53</f>
        <v>0</v>
      </c>
      <c r="AB53" s="45">
        <f t="shared" si="765"/>
        <v>0</v>
      </c>
      <c r="AC53" s="66"/>
      <c r="AD53" s="67">
        <f t="shared" ref="AD53" si="1040">AC53*$F$53</f>
        <v>0</v>
      </c>
      <c r="AE53" s="67">
        <f t="shared" ref="AE53" si="1041">AC53*$G$53</f>
        <v>0</v>
      </c>
      <c r="AF53" s="45">
        <f t="shared" si="768"/>
        <v>0</v>
      </c>
      <c r="AG53" s="66"/>
      <c r="AH53" s="67">
        <f t="shared" ref="AH53" si="1042">AG53*$F$53</f>
        <v>0</v>
      </c>
      <c r="AI53" s="67">
        <f t="shared" ref="AI53" si="1043">AG53*$G$53</f>
        <v>0</v>
      </c>
      <c r="AJ53" s="45">
        <f t="shared" si="771"/>
        <v>0</v>
      </c>
      <c r="AK53" s="66"/>
      <c r="AL53" s="67">
        <f t="shared" ref="AL53" si="1044">AK53*$F$53</f>
        <v>0</v>
      </c>
      <c r="AM53" s="67">
        <f t="shared" ref="AM53" si="1045">AK53*$G$53</f>
        <v>0</v>
      </c>
      <c r="AN53" s="45">
        <f t="shared" si="774"/>
        <v>0</v>
      </c>
      <c r="AO53" s="66"/>
      <c r="AP53" s="67">
        <f t="shared" ref="AP53" si="1046">AO53*$F$53</f>
        <v>0</v>
      </c>
      <c r="AQ53" s="67">
        <f t="shared" ref="AQ53" si="1047">AO53*$G$53</f>
        <v>0</v>
      </c>
      <c r="AR53" s="45">
        <f t="shared" si="777"/>
        <v>0</v>
      </c>
      <c r="AS53" s="66"/>
      <c r="AT53" s="67">
        <f t="shared" ref="AT53" si="1048">AS53*$F$53</f>
        <v>0</v>
      </c>
      <c r="AU53" s="67">
        <f t="shared" ref="AU53" si="1049">AS53*$G$53</f>
        <v>0</v>
      </c>
      <c r="AV53" s="45">
        <f t="shared" si="780"/>
        <v>0</v>
      </c>
      <c r="AW53" s="66"/>
      <c r="AX53" s="67">
        <f t="shared" ref="AX53" si="1050">AW53*$F$53</f>
        <v>0</v>
      </c>
      <c r="AY53" s="67">
        <f t="shared" ref="AY53" si="1051">AW53*$G$53</f>
        <v>0</v>
      </c>
      <c r="AZ53" s="45">
        <f t="shared" si="783"/>
        <v>0</v>
      </c>
      <c r="BA53" s="66"/>
      <c r="BB53" s="67">
        <f t="shared" ref="BB53" si="1052">BA53*$F$53</f>
        <v>0</v>
      </c>
      <c r="BC53" s="67">
        <f t="shared" ref="BC53" si="1053">BA53*$G$53</f>
        <v>0</v>
      </c>
      <c r="BD53" s="45">
        <f t="shared" si="786"/>
        <v>0</v>
      </c>
      <c r="BE53" s="66"/>
      <c r="BF53" s="44">
        <f t="shared" si="881"/>
        <v>0</v>
      </c>
      <c r="BG53" s="44">
        <f t="shared" si="882"/>
        <v>0</v>
      </c>
      <c r="BH53" s="45">
        <f t="shared" si="883"/>
        <v>0</v>
      </c>
      <c r="BI53" s="66"/>
      <c r="BJ53" s="44">
        <f t="shared" si="884"/>
        <v>0</v>
      </c>
      <c r="BK53" s="44"/>
      <c r="BL53" s="45">
        <f t="shared" si="885"/>
        <v>0</v>
      </c>
      <c r="BM53" s="66"/>
      <c r="BN53" s="67">
        <f t="shared" si="792"/>
        <v>0</v>
      </c>
      <c r="BO53" s="67"/>
      <c r="BP53" s="45">
        <f t="shared" si="886"/>
        <v>0</v>
      </c>
      <c r="BQ53" s="66"/>
      <c r="BR53" s="44">
        <f t="shared" si="794"/>
        <v>0</v>
      </c>
      <c r="BS53" s="67"/>
      <c r="BT53" s="45">
        <f t="shared" si="795"/>
        <v>0</v>
      </c>
      <c r="BU53" s="66"/>
      <c r="BV53" s="44">
        <f t="shared" si="796"/>
        <v>0</v>
      </c>
      <c r="BW53" s="67"/>
      <c r="BX53" s="45">
        <f t="shared" si="797"/>
        <v>0</v>
      </c>
      <c r="BY53" s="66"/>
      <c r="BZ53" s="44">
        <f t="shared" si="798"/>
        <v>0</v>
      </c>
      <c r="CA53" s="67"/>
      <c r="CB53" s="45">
        <f t="shared" si="799"/>
        <v>0</v>
      </c>
      <c r="CC53" s="66"/>
      <c r="CD53" s="44">
        <f t="shared" si="800"/>
        <v>0</v>
      </c>
      <c r="CE53" s="67"/>
      <c r="CF53" s="45">
        <f t="shared" si="801"/>
        <v>0</v>
      </c>
      <c r="CG53" s="136"/>
      <c r="CH53" s="91">
        <f t="shared" si="752"/>
        <v>0</v>
      </c>
      <c r="CI53" s="47">
        <f t="shared" si="538"/>
        <v>0</v>
      </c>
      <c r="CJ53" s="47">
        <f t="shared" si="449"/>
        <v>0</v>
      </c>
      <c r="CK53" s="48">
        <f t="shared" si="639"/>
        <v>0</v>
      </c>
      <c r="CL53" s="49">
        <f t="shared" si="450"/>
        <v>4</v>
      </c>
      <c r="CM53" s="50">
        <f t="shared" si="451"/>
        <v>30000</v>
      </c>
      <c r="CO53" s="65"/>
      <c r="CP53" s="65"/>
    </row>
    <row r="54" spans="1:94" ht="26.25" customHeight="1" x14ac:dyDescent="0.25">
      <c r="A54" s="32"/>
      <c r="B54" s="74">
        <v>39</v>
      </c>
      <c r="C54" s="113" t="s">
        <v>54</v>
      </c>
      <c r="D54" s="112">
        <v>4</v>
      </c>
      <c r="E54" s="130">
        <f>D54-I54-M54-Q54-U54-Y54-AC54-AK54-AO54-AS54-AW54-BA54-BE54-BI54</f>
        <v>4</v>
      </c>
      <c r="F54" s="44">
        <f t="shared" si="858"/>
        <v>2500</v>
      </c>
      <c r="G54" s="116"/>
      <c r="H54" s="45">
        <f>H44*0.05</f>
        <v>10000</v>
      </c>
      <c r="I54" s="66"/>
      <c r="J54" s="67">
        <f>I54*$F$54</f>
        <v>0</v>
      </c>
      <c r="K54" s="67">
        <f>I54*$G$54</f>
        <v>0</v>
      </c>
      <c r="L54" s="45">
        <f>SUM(J54:K54)</f>
        <v>0</v>
      </c>
      <c r="M54" s="66"/>
      <c r="N54" s="67">
        <f t="shared" ref="N54" si="1054">M54*$F$54</f>
        <v>0</v>
      </c>
      <c r="O54" s="67">
        <f t="shared" ref="O54" si="1055">M54*$G$54</f>
        <v>0</v>
      </c>
      <c r="P54" s="45">
        <f t="shared" si="756"/>
        <v>0</v>
      </c>
      <c r="Q54" s="66"/>
      <c r="R54" s="67">
        <f t="shared" ref="R54" si="1056">Q54*$F$54</f>
        <v>0</v>
      </c>
      <c r="S54" s="67">
        <f t="shared" ref="S54" si="1057">Q54*$G$54</f>
        <v>0</v>
      </c>
      <c r="T54" s="45">
        <f t="shared" si="759"/>
        <v>0</v>
      </c>
      <c r="U54" s="66"/>
      <c r="V54" s="67">
        <f t="shared" ref="V54" si="1058">U54*$F$54</f>
        <v>0</v>
      </c>
      <c r="W54" s="67">
        <f t="shared" ref="W54" si="1059">U54*$G$54</f>
        <v>0</v>
      </c>
      <c r="X54" s="45">
        <f t="shared" si="762"/>
        <v>0</v>
      </c>
      <c r="Y54" s="66"/>
      <c r="Z54" s="67">
        <f t="shared" ref="Z54" si="1060">Y54*$F$54</f>
        <v>0</v>
      </c>
      <c r="AA54" s="67">
        <f t="shared" ref="AA54" si="1061">Y54*$G$54</f>
        <v>0</v>
      </c>
      <c r="AB54" s="45">
        <f t="shared" si="765"/>
        <v>0</v>
      </c>
      <c r="AC54" s="66"/>
      <c r="AD54" s="67">
        <f t="shared" ref="AD54" si="1062">AC54*$F$54</f>
        <v>0</v>
      </c>
      <c r="AE54" s="67">
        <f t="shared" ref="AE54" si="1063">AC54*$G$54</f>
        <v>0</v>
      </c>
      <c r="AF54" s="45">
        <f t="shared" si="768"/>
        <v>0</v>
      </c>
      <c r="AG54" s="66"/>
      <c r="AH54" s="67">
        <f t="shared" ref="AH54" si="1064">AG54*$F$54</f>
        <v>0</v>
      </c>
      <c r="AI54" s="67">
        <f t="shared" ref="AI54" si="1065">AG54*$G$54</f>
        <v>0</v>
      </c>
      <c r="AJ54" s="45">
        <f t="shared" si="771"/>
        <v>0</v>
      </c>
      <c r="AK54" s="66"/>
      <c r="AL54" s="67">
        <f t="shared" ref="AL54" si="1066">AK54*$F$54</f>
        <v>0</v>
      </c>
      <c r="AM54" s="67">
        <f t="shared" ref="AM54" si="1067">AK54*$G$54</f>
        <v>0</v>
      </c>
      <c r="AN54" s="45">
        <f t="shared" si="774"/>
        <v>0</v>
      </c>
      <c r="AO54" s="66"/>
      <c r="AP54" s="67">
        <f t="shared" ref="AP54" si="1068">AO54*$F$54</f>
        <v>0</v>
      </c>
      <c r="AQ54" s="67">
        <f t="shared" ref="AQ54" si="1069">AO54*$G$54</f>
        <v>0</v>
      </c>
      <c r="AR54" s="45">
        <f t="shared" si="777"/>
        <v>0</v>
      </c>
      <c r="AS54" s="66"/>
      <c r="AT54" s="67">
        <f t="shared" ref="AT54" si="1070">AS54*$F$54</f>
        <v>0</v>
      </c>
      <c r="AU54" s="67">
        <f t="shared" ref="AU54" si="1071">AS54*$G$54</f>
        <v>0</v>
      </c>
      <c r="AV54" s="45">
        <f t="shared" si="780"/>
        <v>0</v>
      </c>
      <c r="AW54" s="66"/>
      <c r="AX54" s="67">
        <f t="shared" ref="AX54" si="1072">AW54*$F$54</f>
        <v>0</v>
      </c>
      <c r="AY54" s="67">
        <f t="shared" ref="AY54" si="1073">AW54*$G$54</f>
        <v>0</v>
      </c>
      <c r="AZ54" s="45">
        <f t="shared" si="783"/>
        <v>0</v>
      </c>
      <c r="BA54" s="66"/>
      <c r="BB54" s="67">
        <f t="shared" ref="BB54" si="1074">BA54*$F$54</f>
        <v>0</v>
      </c>
      <c r="BC54" s="67">
        <f t="shared" ref="BC54" si="1075">BA54*$G$54</f>
        <v>0</v>
      </c>
      <c r="BD54" s="45">
        <f t="shared" si="786"/>
        <v>0</v>
      </c>
      <c r="BE54" s="66"/>
      <c r="BF54" s="44">
        <f t="shared" si="881"/>
        <v>0</v>
      </c>
      <c r="BG54" s="44">
        <f t="shared" si="882"/>
        <v>0</v>
      </c>
      <c r="BH54" s="45">
        <f t="shared" si="883"/>
        <v>0</v>
      </c>
      <c r="BI54" s="66"/>
      <c r="BJ54" s="44">
        <f t="shared" si="884"/>
        <v>0</v>
      </c>
      <c r="BK54" s="44"/>
      <c r="BL54" s="45">
        <f t="shared" si="885"/>
        <v>0</v>
      </c>
      <c r="BM54" s="66"/>
      <c r="BN54" s="67">
        <f t="shared" si="792"/>
        <v>0</v>
      </c>
      <c r="BO54" s="67"/>
      <c r="BP54" s="45">
        <f t="shared" si="886"/>
        <v>0</v>
      </c>
      <c r="BQ54" s="66"/>
      <c r="BR54" s="44">
        <f t="shared" si="794"/>
        <v>0</v>
      </c>
      <c r="BS54" s="67"/>
      <c r="BT54" s="45">
        <f t="shared" si="795"/>
        <v>0</v>
      </c>
      <c r="BU54" s="66"/>
      <c r="BV54" s="44">
        <f t="shared" si="796"/>
        <v>0</v>
      </c>
      <c r="BW54" s="67"/>
      <c r="BX54" s="45">
        <f t="shared" si="797"/>
        <v>0</v>
      </c>
      <c r="BY54" s="66"/>
      <c r="BZ54" s="44">
        <f t="shared" si="798"/>
        <v>0</v>
      </c>
      <c r="CA54" s="67"/>
      <c r="CB54" s="45">
        <f t="shared" si="799"/>
        <v>0</v>
      </c>
      <c r="CC54" s="66"/>
      <c r="CD54" s="44">
        <f t="shared" si="800"/>
        <v>0</v>
      </c>
      <c r="CE54" s="67"/>
      <c r="CF54" s="45">
        <f t="shared" si="801"/>
        <v>0</v>
      </c>
      <c r="CG54" s="136"/>
      <c r="CH54" s="91">
        <f t="shared" si="752"/>
        <v>0</v>
      </c>
      <c r="CI54" s="47">
        <f t="shared" si="538"/>
        <v>0</v>
      </c>
      <c r="CJ54" s="47">
        <f t="shared" si="449"/>
        <v>0</v>
      </c>
      <c r="CK54" s="48">
        <f t="shared" si="639"/>
        <v>0</v>
      </c>
      <c r="CL54" s="49">
        <f t="shared" si="450"/>
        <v>4</v>
      </c>
      <c r="CM54" s="50">
        <f t="shared" si="451"/>
        <v>10000</v>
      </c>
      <c r="CO54" s="65"/>
      <c r="CP54" s="65"/>
    </row>
    <row r="55" spans="1:94" ht="26.25" customHeight="1" x14ac:dyDescent="0.25">
      <c r="A55" s="32"/>
      <c r="B55" s="74">
        <v>40</v>
      </c>
      <c r="C55" s="113" t="s">
        <v>56</v>
      </c>
      <c r="D55" s="112">
        <v>1</v>
      </c>
      <c r="E55" s="130">
        <f>D55-I55-M55-Q55-U55-Y55-AC55-AK55-AO55-AS55-AW55-BA55-BE55-BI55</f>
        <v>1</v>
      </c>
      <c r="F55" s="44">
        <f t="shared" si="858"/>
        <v>8000</v>
      </c>
      <c r="G55" s="116"/>
      <c r="H55" s="45">
        <f>H44*0.04</f>
        <v>8000</v>
      </c>
      <c r="I55" s="66"/>
      <c r="J55" s="67">
        <f>I55*$F$55</f>
        <v>0</v>
      </c>
      <c r="K55" s="67">
        <f>I55*$G$55</f>
        <v>0</v>
      </c>
      <c r="L55" s="45">
        <f t="shared" si="753"/>
        <v>0</v>
      </c>
      <c r="M55" s="66"/>
      <c r="N55" s="67">
        <f t="shared" ref="N55" si="1076">M55*$F$55</f>
        <v>0</v>
      </c>
      <c r="O55" s="67">
        <f t="shared" ref="O55" si="1077">M55*$G$55</f>
        <v>0</v>
      </c>
      <c r="P55" s="45">
        <f t="shared" si="756"/>
        <v>0</v>
      </c>
      <c r="Q55" s="66"/>
      <c r="R55" s="67">
        <f t="shared" ref="R55" si="1078">Q55*$F$55</f>
        <v>0</v>
      </c>
      <c r="S55" s="67">
        <f t="shared" ref="S55" si="1079">Q55*$G$55</f>
        <v>0</v>
      </c>
      <c r="T55" s="45">
        <f t="shared" si="759"/>
        <v>0</v>
      </c>
      <c r="U55" s="66"/>
      <c r="V55" s="67">
        <f t="shared" ref="V55" si="1080">U55*$F$55</f>
        <v>0</v>
      </c>
      <c r="W55" s="67">
        <f t="shared" ref="W55" si="1081">U55*$G$55</f>
        <v>0</v>
      </c>
      <c r="X55" s="45">
        <f t="shared" si="762"/>
        <v>0</v>
      </c>
      <c r="Y55" s="66"/>
      <c r="Z55" s="67">
        <f t="shared" ref="Z55" si="1082">Y55*$F$55</f>
        <v>0</v>
      </c>
      <c r="AA55" s="67">
        <f t="shared" ref="AA55" si="1083">Y55*$G$55</f>
        <v>0</v>
      </c>
      <c r="AB55" s="45">
        <f t="shared" si="765"/>
        <v>0</v>
      </c>
      <c r="AC55" s="66"/>
      <c r="AD55" s="67">
        <f t="shared" ref="AD55" si="1084">AC55*$F$55</f>
        <v>0</v>
      </c>
      <c r="AE55" s="67">
        <f t="shared" ref="AE55" si="1085">AC55*$G$55</f>
        <v>0</v>
      </c>
      <c r="AF55" s="45">
        <f t="shared" si="768"/>
        <v>0</v>
      </c>
      <c r="AG55" s="66"/>
      <c r="AH55" s="67">
        <f t="shared" ref="AH55" si="1086">AG55*$F$55</f>
        <v>0</v>
      </c>
      <c r="AI55" s="67">
        <f t="shared" ref="AI55" si="1087">AG55*$G$55</f>
        <v>0</v>
      </c>
      <c r="AJ55" s="45">
        <f t="shared" si="771"/>
        <v>0</v>
      </c>
      <c r="AK55" s="66"/>
      <c r="AL55" s="67">
        <f t="shared" ref="AL55" si="1088">AK55*$F$55</f>
        <v>0</v>
      </c>
      <c r="AM55" s="67">
        <f t="shared" ref="AM55" si="1089">AK55*$G$55</f>
        <v>0</v>
      </c>
      <c r="AN55" s="45">
        <f t="shared" si="774"/>
        <v>0</v>
      </c>
      <c r="AO55" s="66"/>
      <c r="AP55" s="67">
        <f t="shared" ref="AP55" si="1090">AO55*$F$55</f>
        <v>0</v>
      </c>
      <c r="AQ55" s="67">
        <f t="shared" ref="AQ55" si="1091">AO55*$G$55</f>
        <v>0</v>
      </c>
      <c r="AR55" s="45">
        <f t="shared" si="777"/>
        <v>0</v>
      </c>
      <c r="AS55" s="66"/>
      <c r="AT55" s="67">
        <f t="shared" ref="AT55" si="1092">AS55*$F$55</f>
        <v>0</v>
      </c>
      <c r="AU55" s="67">
        <f t="shared" ref="AU55" si="1093">AS55*$G$55</f>
        <v>0</v>
      </c>
      <c r="AV55" s="45">
        <f t="shared" si="780"/>
        <v>0</v>
      </c>
      <c r="AW55" s="66"/>
      <c r="AX55" s="67">
        <f t="shared" ref="AX55" si="1094">AW55*$F$55</f>
        <v>0</v>
      </c>
      <c r="AY55" s="67">
        <f t="shared" ref="AY55" si="1095">AW55*$G$55</f>
        <v>0</v>
      </c>
      <c r="AZ55" s="45">
        <f t="shared" si="783"/>
        <v>0</v>
      </c>
      <c r="BA55" s="66"/>
      <c r="BB55" s="67">
        <f t="shared" ref="BB55" si="1096">BA55*$F$55</f>
        <v>0</v>
      </c>
      <c r="BC55" s="67">
        <f t="shared" ref="BC55" si="1097">BA55*$G$55</f>
        <v>0</v>
      </c>
      <c r="BD55" s="45">
        <f t="shared" si="786"/>
        <v>0</v>
      </c>
      <c r="BE55" s="66"/>
      <c r="BF55" s="44">
        <f t="shared" si="881"/>
        <v>0</v>
      </c>
      <c r="BG55" s="44">
        <f t="shared" si="882"/>
        <v>0</v>
      </c>
      <c r="BH55" s="45">
        <f t="shared" si="883"/>
        <v>0</v>
      </c>
      <c r="BI55" s="66"/>
      <c r="BJ55" s="44">
        <f t="shared" si="884"/>
        <v>0</v>
      </c>
      <c r="BK55" s="44"/>
      <c r="BL55" s="45">
        <f t="shared" si="885"/>
        <v>0</v>
      </c>
      <c r="BM55" s="66"/>
      <c r="BN55" s="67">
        <f t="shared" si="792"/>
        <v>0</v>
      </c>
      <c r="BO55" s="67"/>
      <c r="BP55" s="45">
        <f t="shared" si="886"/>
        <v>0</v>
      </c>
      <c r="BQ55" s="66"/>
      <c r="BR55" s="44">
        <f t="shared" si="794"/>
        <v>0</v>
      </c>
      <c r="BS55" s="67"/>
      <c r="BT55" s="45">
        <f t="shared" si="795"/>
        <v>0</v>
      </c>
      <c r="BU55" s="66"/>
      <c r="BV55" s="44">
        <f t="shared" si="796"/>
        <v>0</v>
      </c>
      <c r="BW55" s="67"/>
      <c r="BX55" s="45">
        <f t="shared" si="797"/>
        <v>0</v>
      </c>
      <c r="BY55" s="66"/>
      <c r="BZ55" s="44">
        <f t="shared" si="798"/>
        <v>0</v>
      </c>
      <c r="CA55" s="67"/>
      <c r="CB55" s="45">
        <f t="shared" si="799"/>
        <v>0</v>
      </c>
      <c r="CC55" s="66"/>
      <c r="CD55" s="44">
        <f t="shared" si="800"/>
        <v>0</v>
      </c>
      <c r="CE55" s="67"/>
      <c r="CF55" s="45">
        <f t="shared" si="801"/>
        <v>0</v>
      </c>
      <c r="CG55" s="136"/>
      <c r="CH55" s="91">
        <f t="shared" si="752"/>
        <v>0</v>
      </c>
      <c r="CI55" s="47">
        <f t="shared" si="538"/>
        <v>0</v>
      </c>
      <c r="CJ55" s="47">
        <f t="shared" si="449"/>
        <v>0</v>
      </c>
      <c r="CK55" s="48">
        <f t="shared" si="639"/>
        <v>0</v>
      </c>
      <c r="CL55" s="49">
        <f t="shared" si="450"/>
        <v>1</v>
      </c>
      <c r="CM55" s="50">
        <f t="shared" si="451"/>
        <v>8000</v>
      </c>
      <c r="CO55" s="65"/>
      <c r="CP55" s="65"/>
    </row>
    <row r="56" spans="1:94" ht="26.25" customHeight="1" x14ac:dyDescent="0.25">
      <c r="A56" s="32"/>
      <c r="B56" s="74">
        <v>41</v>
      </c>
      <c r="C56" s="113"/>
      <c r="D56" s="112"/>
      <c r="E56" s="130">
        <f t="shared" si="857"/>
        <v>0</v>
      </c>
      <c r="F56" s="163"/>
      <c r="G56" s="96"/>
      <c r="H56" s="45"/>
      <c r="I56" s="66"/>
      <c r="J56" s="67"/>
      <c r="K56" s="67"/>
      <c r="L56" s="45"/>
      <c r="M56" s="66"/>
      <c r="N56" s="67"/>
      <c r="O56" s="67"/>
      <c r="P56" s="45"/>
      <c r="Q56" s="66"/>
      <c r="R56" s="67"/>
      <c r="S56" s="67"/>
      <c r="T56" s="45"/>
      <c r="U56" s="66"/>
      <c r="V56" s="67"/>
      <c r="W56" s="67"/>
      <c r="X56" s="45"/>
      <c r="Y56" s="66"/>
      <c r="Z56" s="67"/>
      <c r="AA56" s="67"/>
      <c r="AB56" s="45"/>
      <c r="AC56" s="66"/>
      <c r="AD56" s="67"/>
      <c r="AE56" s="67"/>
      <c r="AF56" s="45"/>
      <c r="AG56" s="66"/>
      <c r="AH56" s="67"/>
      <c r="AI56" s="67"/>
      <c r="AJ56" s="45"/>
      <c r="AK56" s="66"/>
      <c r="AL56" s="67"/>
      <c r="AM56" s="67"/>
      <c r="AN56" s="45"/>
      <c r="AO56" s="66"/>
      <c r="AP56" s="67"/>
      <c r="AQ56" s="67"/>
      <c r="AR56" s="45"/>
      <c r="AS56" s="66"/>
      <c r="AT56" s="67"/>
      <c r="AU56" s="67"/>
      <c r="AV56" s="45"/>
      <c r="AW56" s="66"/>
      <c r="AX56" s="67"/>
      <c r="AY56" s="67"/>
      <c r="AZ56" s="45"/>
      <c r="BA56" s="66"/>
      <c r="BB56" s="67"/>
      <c r="BC56" s="67"/>
      <c r="BD56" s="45"/>
      <c r="BE56" s="66"/>
      <c r="BF56" s="44">
        <f t="shared" si="881"/>
        <v>0</v>
      </c>
      <c r="BG56" s="44">
        <f t="shared" si="882"/>
        <v>0</v>
      </c>
      <c r="BH56" s="45">
        <f t="shared" si="883"/>
        <v>0</v>
      </c>
      <c r="BI56" s="66"/>
      <c r="BJ56" s="44">
        <f t="shared" si="884"/>
        <v>0</v>
      </c>
      <c r="BK56" s="44"/>
      <c r="BL56" s="45">
        <f t="shared" si="885"/>
        <v>0</v>
      </c>
      <c r="BM56" s="66"/>
      <c r="BN56" s="67">
        <f t="shared" si="792"/>
        <v>0</v>
      </c>
      <c r="BO56" s="67"/>
      <c r="BP56" s="45">
        <f t="shared" si="886"/>
        <v>0</v>
      </c>
      <c r="BQ56" s="66"/>
      <c r="BR56" s="44">
        <f t="shared" si="794"/>
        <v>0</v>
      </c>
      <c r="BS56" s="67"/>
      <c r="BT56" s="45">
        <f t="shared" si="795"/>
        <v>0</v>
      </c>
      <c r="BU56" s="66"/>
      <c r="BV56" s="44">
        <f t="shared" si="796"/>
        <v>0</v>
      </c>
      <c r="BW56" s="67"/>
      <c r="BX56" s="45">
        <f t="shared" si="797"/>
        <v>0</v>
      </c>
      <c r="BY56" s="66"/>
      <c r="BZ56" s="44">
        <f t="shared" si="798"/>
        <v>0</v>
      </c>
      <c r="CA56" s="67"/>
      <c r="CB56" s="45">
        <f t="shared" si="799"/>
        <v>0</v>
      </c>
      <c r="CC56" s="66"/>
      <c r="CD56" s="44">
        <f t="shared" si="800"/>
        <v>0</v>
      </c>
      <c r="CE56" s="67"/>
      <c r="CF56" s="45">
        <f t="shared" si="801"/>
        <v>0</v>
      </c>
      <c r="CG56" s="136"/>
      <c r="CH56" s="91">
        <f t="shared" si="752"/>
        <v>0</v>
      </c>
      <c r="CI56" s="47">
        <f t="shared" si="538"/>
        <v>0</v>
      </c>
      <c r="CJ56" s="47">
        <f t="shared" si="449"/>
        <v>0</v>
      </c>
      <c r="CK56" s="48">
        <f t="shared" si="639"/>
        <v>0</v>
      </c>
      <c r="CL56" s="49">
        <f t="shared" si="450"/>
        <v>0</v>
      </c>
      <c r="CM56" s="50">
        <f t="shared" si="451"/>
        <v>0</v>
      </c>
      <c r="CO56" s="65"/>
      <c r="CP56" s="65"/>
    </row>
    <row r="57" spans="1:94" ht="26.25" customHeight="1" x14ac:dyDescent="0.25">
      <c r="A57" s="32"/>
      <c r="B57" s="74">
        <v>42</v>
      </c>
      <c r="C57" s="117" t="s">
        <v>90</v>
      </c>
      <c r="D57" s="112">
        <v>1</v>
      </c>
      <c r="E57" s="130">
        <f>D57-I57-M57-Q57-U57-Y57-AC57-AK57-AO57-AS57-AW57-BA57-BE57-BI57-1</f>
        <v>0</v>
      </c>
      <c r="F57" s="44">
        <f t="shared" si="858"/>
        <v>28000.000000000004</v>
      </c>
      <c r="G57" s="67"/>
      <c r="H57" s="67">
        <f>H44*0.14</f>
        <v>28000.000000000004</v>
      </c>
      <c r="I57" s="43"/>
      <c r="J57" s="67">
        <f>I57*$F$57</f>
        <v>0</v>
      </c>
      <c r="K57" s="67">
        <f>I57*$G$57</f>
        <v>0</v>
      </c>
      <c r="L57" s="45">
        <f t="shared" si="753"/>
        <v>0</v>
      </c>
      <c r="M57" s="43"/>
      <c r="N57" s="67">
        <f t="shared" ref="N57" si="1098">M57*$F$57</f>
        <v>0</v>
      </c>
      <c r="O57" s="67">
        <f t="shared" ref="O57" si="1099">M57*$G$57</f>
        <v>0</v>
      </c>
      <c r="P57" s="45">
        <f t="shared" ref="P57" si="1100">SUM(N57:O57)</f>
        <v>0</v>
      </c>
      <c r="Q57" s="43"/>
      <c r="R57" s="67">
        <f t="shared" ref="R57" si="1101">Q57*$F$57</f>
        <v>0</v>
      </c>
      <c r="S57" s="67">
        <f t="shared" ref="S57" si="1102">Q57*$G$57</f>
        <v>0</v>
      </c>
      <c r="T57" s="45">
        <f t="shared" ref="T57" si="1103">SUM(R57:S57)</f>
        <v>0</v>
      </c>
      <c r="U57" s="43"/>
      <c r="V57" s="67">
        <f t="shared" ref="V57" si="1104">U57*$F$57</f>
        <v>0</v>
      </c>
      <c r="W57" s="67">
        <f t="shared" ref="W57" si="1105">U57*$G$57</f>
        <v>0</v>
      </c>
      <c r="X57" s="45">
        <f t="shared" ref="X57" si="1106">SUM(V57:W57)</f>
        <v>0</v>
      </c>
      <c r="Y57" s="43"/>
      <c r="Z57" s="67">
        <f t="shared" ref="Z57" si="1107">Y57*$F$57</f>
        <v>0</v>
      </c>
      <c r="AA57" s="67">
        <f t="shared" ref="AA57" si="1108">Y57*$G$57</f>
        <v>0</v>
      </c>
      <c r="AB57" s="45">
        <f t="shared" ref="AB57" si="1109">SUM(Z57:AA57)</f>
        <v>0</v>
      </c>
      <c r="AC57" s="43"/>
      <c r="AD57" s="67">
        <f t="shared" ref="AD57" si="1110">AC57*$F$57</f>
        <v>0</v>
      </c>
      <c r="AE57" s="67">
        <f t="shared" ref="AE57" si="1111">AC57*$G$57</f>
        <v>0</v>
      </c>
      <c r="AF57" s="45">
        <f t="shared" ref="AF57" si="1112">SUM(AD57:AE57)</f>
        <v>0</v>
      </c>
      <c r="AG57" s="43"/>
      <c r="AH57" s="67">
        <f t="shared" ref="AH57" si="1113">AG57*$F$57</f>
        <v>0</v>
      </c>
      <c r="AI57" s="67">
        <f t="shared" ref="AI57" si="1114">AG57*$G$57</f>
        <v>0</v>
      </c>
      <c r="AJ57" s="45">
        <f t="shared" ref="AJ57" si="1115">SUM(AH57:AI57)</f>
        <v>0</v>
      </c>
      <c r="AK57" s="43"/>
      <c r="AL57" s="67">
        <f t="shared" ref="AL57" si="1116">AK57*$F$57</f>
        <v>0</v>
      </c>
      <c r="AM57" s="67">
        <f t="shared" ref="AM57" si="1117">AK57*$G$57</f>
        <v>0</v>
      </c>
      <c r="AN57" s="45">
        <f t="shared" ref="AN57" si="1118">SUM(AL57:AM57)</f>
        <v>0</v>
      </c>
      <c r="AO57" s="43"/>
      <c r="AP57" s="67">
        <f t="shared" ref="AP57" si="1119">AO57*$F$57</f>
        <v>0</v>
      </c>
      <c r="AQ57" s="67">
        <f t="shared" ref="AQ57" si="1120">AO57*$G$57</f>
        <v>0</v>
      </c>
      <c r="AR57" s="45">
        <f t="shared" ref="AR57" si="1121">SUM(AP57:AQ57)</f>
        <v>0</v>
      </c>
      <c r="AS57" s="43"/>
      <c r="AT57" s="67">
        <f t="shared" ref="AT57" si="1122">AS57*$F$57</f>
        <v>0</v>
      </c>
      <c r="AU57" s="67">
        <f t="shared" ref="AU57" si="1123">AS57*$G$57</f>
        <v>0</v>
      </c>
      <c r="AV57" s="45">
        <f t="shared" ref="AV57" si="1124">SUM(AT57:AU57)</f>
        <v>0</v>
      </c>
      <c r="AW57" s="43"/>
      <c r="AX57" s="67">
        <f t="shared" ref="AX57" si="1125">AW57*$F$57</f>
        <v>0</v>
      </c>
      <c r="AY57" s="67">
        <f t="shared" ref="AY57" si="1126">AW57*$G$57</f>
        <v>0</v>
      </c>
      <c r="AZ57" s="45">
        <f t="shared" ref="AZ57" si="1127">SUM(AX57:AY57)</f>
        <v>0</v>
      </c>
      <c r="BA57" s="43"/>
      <c r="BB57" s="67">
        <f t="shared" ref="BB57" si="1128">BA57*$F$57</f>
        <v>0</v>
      </c>
      <c r="BC57" s="67">
        <f t="shared" ref="BC57" si="1129">BA57*$G$57</f>
        <v>0</v>
      </c>
      <c r="BD57" s="45">
        <f t="shared" ref="BD57" si="1130">SUM(BB57:BC57)</f>
        <v>0</v>
      </c>
      <c r="BE57" s="43"/>
      <c r="BF57" s="44">
        <f t="shared" si="881"/>
        <v>0</v>
      </c>
      <c r="BG57" s="44">
        <f t="shared" si="882"/>
        <v>0</v>
      </c>
      <c r="BH57" s="45">
        <f t="shared" si="883"/>
        <v>0</v>
      </c>
      <c r="BI57" s="43"/>
      <c r="BJ57" s="44">
        <f t="shared" si="884"/>
        <v>0</v>
      </c>
      <c r="BK57" s="44"/>
      <c r="BL57" s="45">
        <f t="shared" si="885"/>
        <v>0</v>
      </c>
      <c r="BM57" s="43"/>
      <c r="BN57" s="67">
        <f t="shared" si="792"/>
        <v>0</v>
      </c>
      <c r="BO57" s="67"/>
      <c r="BP57" s="45">
        <f t="shared" si="886"/>
        <v>0</v>
      </c>
      <c r="BQ57" s="43"/>
      <c r="BR57" s="44">
        <f t="shared" si="794"/>
        <v>0</v>
      </c>
      <c r="BS57" s="67"/>
      <c r="BT57" s="45">
        <f t="shared" si="795"/>
        <v>0</v>
      </c>
      <c r="BU57" s="43"/>
      <c r="BV57" s="44">
        <f t="shared" si="796"/>
        <v>0</v>
      </c>
      <c r="BW57" s="67"/>
      <c r="BX57" s="45">
        <f t="shared" si="797"/>
        <v>0</v>
      </c>
      <c r="BY57" s="43"/>
      <c r="BZ57" s="44">
        <f t="shared" si="798"/>
        <v>0</v>
      </c>
      <c r="CA57" s="67"/>
      <c r="CB57" s="45">
        <f t="shared" si="799"/>
        <v>0</v>
      </c>
      <c r="CC57" s="43"/>
      <c r="CD57" s="44">
        <f t="shared" si="800"/>
        <v>0</v>
      </c>
      <c r="CE57" s="67"/>
      <c r="CF57" s="45">
        <f t="shared" si="801"/>
        <v>0</v>
      </c>
      <c r="CG57" s="136"/>
      <c r="CH57" s="91">
        <f t="shared" si="752"/>
        <v>0</v>
      </c>
      <c r="CI57" s="47">
        <f t="shared" si="538"/>
        <v>0</v>
      </c>
      <c r="CJ57" s="47">
        <f t="shared" si="449"/>
        <v>0</v>
      </c>
      <c r="CK57" s="48">
        <f t="shared" si="639"/>
        <v>0</v>
      </c>
      <c r="CL57" s="49">
        <f t="shared" si="450"/>
        <v>1</v>
      </c>
      <c r="CM57" s="50">
        <f t="shared" si="451"/>
        <v>28000.000000000004</v>
      </c>
      <c r="CO57" s="65"/>
      <c r="CP57" s="65"/>
    </row>
    <row r="58" spans="1:94" ht="26.25" customHeight="1" x14ac:dyDescent="0.25">
      <c r="A58" s="32"/>
      <c r="B58" s="74">
        <v>43</v>
      </c>
      <c r="C58" s="117"/>
      <c r="D58" s="112"/>
      <c r="E58" s="164"/>
      <c r="F58" s="44"/>
      <c r="G58" s="199"/>
      <c r="H58" s="115"/>
      <c r="I58" s="43"/>
      <c r="J58" s="67"/>
      <c r="K58" s="67"/>
      <c r="L58" s="45"/>
      <c r="M58" s="43"/>
      <c r="N58" s="67"/>
      <c r="O58" s="67"/>
      <c r="P58" s="45"/>
      <c r="Q58" s="43"/>
      <c r="R58" s="67"/>
      <c r="S58" s="67"/>
      <c r="T58" s="45"/>
      <c r="U58" s="43"/>
      <c r="V58" s="67"/>
      <c r="W58" s="67"/>
      <c r="X58" s="45"/>
      <c r="Y58" s="43"/>
      <c r="Z58" s="67"/>
      <c r="AA58" s="67"/>
      <c r="AB58" s="45"/>
      <c r="AC58" s="43"/>
      <c r="AD58" s="67"/>
      <c r="AE58" s="67"/>
      <c r="AF58" s="45"/>
      <c r="AG58" s="43"/>
      <c r="AH58" s="67"/>
      <c r="AI58" s="67"/>
      <c r="AJ58" s="45"/>
      <c r="AK58" s="43"/>
      <c r="AL58" s="67"/>
      <c r="AM58" s="67"/>
      <c r="AN58" s="45"/>
      <c r="AO58" s="43"/>
      <c r="AP58" s="67"/>
      <c r="AQ58" s="67"/>
      <c r="AR58" s="45"/>
      <c r="AS58" s="43"/>
      <c r="AT58" s="67"/>
      <c r="AU58" s="67"/>
      <c r="AV58" s="45"/>
      <c r="AW58" s="43"/>
      <c r="AX58" s="67"/>
      <c r="AY58" s="67"/>
      <c r="AZ58" s="45"/>
      <c r="BA58" s="43"/>
      <c r="BB58" s="67"/>
      <c r="BC58" s="67"/>
      <c r="BD58" s="45"/>
      <c r="BE58" s="43"/>
      <c r="BF58" s="44"/>
      <c r="BG58" s="44"/>
      <c r="BH58" s="45"/>
      <c r="BI58" s="43"/>
      <c r="BJ58" s="44"/>
      <c r="BK58" s="44"/>
      <c r="BL58" s="45"/>
      <c r="BM58" s="43"/>
      <c r="BN58" s="67"/>
      <c r="BO58" s="67"/>
      <c r="BP58" s="45"/>
      <c r="BQ58" s="43"/>
      <c r="BR58" s="44"/>
      <c r="BS58" s="67"/>
      <c r="BT58" s="45"/>
      <c r="BU58" s="43"/>
      <c r="BV58" s="44"/>
      <c r="BW58" s="67"/>
      <c r="BX58" s="45"/>
      <c r="BY58" s="43"/>
      <c r="BZ58" s="44"/>
      <c r="CA58" s="67"/>
      <c r="CB58" s="45"/>
      <c r="CC58" s="43"/>
      <c r="CD58" s="44"/>
      <c r="CE58" s="67"/>
      <c r="CF58" s="45"/>
      <c r="CG58" s="136"/>
      <c r="CH58" s="91"/>
      <c r="CI58" s="47"/>
      <c r="CJ58" s="47"/>
      <c r="CK58" s="48"/>
      <c r="CL58" s="49"/>
      <c r="CM58" s="50"/>
      <c r="CO58" s="65"/>
      <c r="CP58" s="65"/>
    </row>
    <row r="59" spans="1:94" s="158" customFormat="1" ht="26.25" customHeight="1" x14ac:dyDescent="0.25">
      <c r="A59" s="148"/>
      <c r="B59" s="74">
        <v>44</v>
      </c>
      <c r="C59" s="146"/>
      <c r="D59" s="149"/>
      <c r="E59" s="149"/>
      <c r="F59" s="150"/>
      <c r="G59" s="151"/>
      <c r="H59" s="160">
        <f>SUM(H45:H57)</f>
        <v>200000</v>
      </c>
      <c r="I59" s="152"/>
      <c r="J59" s="153"/>
      <c r="K59" s="153"/>
      <c r="L59" s="147"/>
      <c r="M59" s="152"/>
      <c r="N59" s="153"/>
      <c r="O59" s="153"/>
      <c r="P59" s="147"/>
      <c r="Q59" s="152"/>
      <c r="R59" s="153"/>
      <c r="S59" s="153"/>
      <c r="T59" s="147"/>
      <c r="U59" s="152"/>
      <c r="V59" s="153"/>
      <c r="W59" s="153"/>
      <c r="X59" s="147"/>
      <c r="Y59" s="152"/>
      <c r="Z59" s="153"/>
      <c r="AA59" s="153"/>
      <c r="AB59" s="147"/>
      <c r="AC59" s="152"/>
      <c r="AD59" s="153"/>
      <c r="AE59" s="153"/>
      <c r="AF59" s="147"/>
      <c r="AG59" s="152"/>
      <c r="AH59" s="153"/>
      <c r="AI59" s="153"/>
      <c r="AJ59" s="147"/>
      <c r="AK59" s="152"/>
      <c r="AL59" s="153"/>
      <c r="AM59" s="153"/>
      <c r="AN59" s="147"/>
      <c r="AO59" s="152"/>
      <c r="AP59" s="153"/>
      <c r="AQ59" s="153"/>
      <c r="AR59" s="147"/>
      <c r="AS59" s="152"/>
      <c r="AT59" s="153"/>
      <c r="AU59" s="153"/>
      <c r="AV59" s="147"/>
      <c r="AW59" s="152"/>
      <c r="AX59" s="153"/>
      <c r="AY59" s="153"/>
      <c r="AZ59" s="147"/>
      <c r="BA59" s="152"/>
      <c r="BB59" s="153"/>
      <c r="BC59" s="153"/>
      <c r="BD59" s="147"/>
      <c r="BE59" s="152"/>
      <c r="BF59" s="153"/>
      <c r="BG59" s="153"/>
      <c r="BH59" s="147"/>
      <c r="BI59" s="152"/>
      <c r="BJ59" s="153"/>
      <c r="BK59" s="153"/>
      <c r="BL59" s="147"/>
      <c r="BM59" s="152"/>
      <c r="BN59" s="153"/>
      <c r="BO59" s="153"/>
      <c r="BP59" s="147"/>
      <c r="BQ59" s="152"/>
      <c r="BR59" s="153"/>
      <c r="BS59" s="153"/>
      <c r="BT59" s="147"/>
      <c r="BU59" s="152"/>
      <c r="BV59" s="153"/>
      <c r="BW59" s="153"/>
      <c r="BX59" s="147"/>
      <c r="BY59" s="152"/>
      <c r="BZ59" s="153"/>
      <c r="CA59" s="153"/>
      <c r="CB59" s="147"/>
      <c r="CC59" s="152"/>
      <c r="CD59" s="153"/>
      <c r="CE59" s="153"/>
      <c r="CF59" s="147"/>
      <c r="CG59" s="154"/>
      <c r="CH59" s="155"/>
      <c r="CI59" s="150"/>
      <c r="CJ59" s="150"/>
      <c r="CK59" s="156"/>
      <c r="CL59" s="153"/>
      <c r="CM59" s="157">
        <f>SUM(CM45:CM57)</f>
        <v>200000</v>
      </c>
      <c r="CO59" s="159"/>
      <c r="CP59" s="159"/>
    </row>
    <row r="60" spans="1:94" ht="26.25" customHeight="1" x14ac:dyDescent="0.25">
      <c r="A60" s="32"/>
      <c r="B60" s="74">
        <v>45</v>
      </c>
      <c r="C60" s="113"/>
      <c r="D60" s="112"/>
      <c r="E60" s="112"/>
      <c r="F60" s="166"/>
      <c r="G60" s="167"/>
      <c r="H60" s="115"/>
      <c r="I60" s="168"/>
      <c r="J60" s="67"/>
      <c r="K60" s="67"/>
      <c r="L60" s="45"/>
      <c r="M60" s="168"/>
      <c r="N60" s="67"/>
      <c r="O60" s="67"/>
      <c r="P60" s="45"/>
      <c r="Q60" s="168"/>
      <c r="R60" s="67"/>
      <c r="S60" s="67"/>
      <c r="T60" s="45"/>
      <c r="U60" s="168"/>
      <c r="V60" s="67"/>
      <c r="W60" s="67"/>
      <c r="X60" s="45"/>
      <c r="Y60" s="168"/>
      <c r="Z60" s="67"/>
      <c r="AA60" s="67"/>
      <c r="AB60" s="45"/>
      <c r="AC60" s="168"/>
      <c r="AD60" s="67"/>
      <c r="AE60" s="67"/>
      <c r="AF60" s="45"/>
      <c r="AG60" s="168"/>
      <c r="AH60" s="67"/>
      <c r="AI60" s="67"/>
      <c r="AJ60" s="45"/>
      <c r="AK60" s="168"/>
      <c r="AL60" s="67"/>
      <c r="AM60" s="67"/>
      <c r="AN60" s="45"/>
      <c r="AO60" s="168"/>
      <c r="AP60" s="67"/>
      <c r="AQ60" s="67"/>
      <c r="AR60" s="45"/>
      <c r="AS60" s="168"/>
      <c r="AT60" s="67"/>
      <c r="AU60" s="67"/>
      <c r="AV60" s="45"/>
      <c r="AW60" s="168"/>
      <c r="AX60" s="67"/>
      <c r="AY60" s="67"/>
      <c r="AZ60" s="45"/>
      <c r="BA60" s="168"/>
      <c r="BB60" s="67"/>
      <c r="BC60" s="67"/>
      <c r="BD60" s="45"/>
      <c r="BE60" s="168"/>
      <c r="BF60" s="67"/>
      <c r="BG60" s="67"/>
      <c r="BH60" s="45"/>
      <c r="BI60" s="168"/>
      <c r="BJ60" s="67"/>
      <c r="BK60" s="67"/>
      <c r="BL60" s="45"/>
      <c r="BM60" s="168"/>
      <c r="BN60" s="67"/>
      <c r="BO60" s="67"/>
      <c r="BP60" s="45"/>
      <c r="BQ60" s="168"/>
      <c r="BR60" s="67"/>
      <c r="BS60" s="67"/>
      <c r="BT60" s="45"/>
      <c r="BU60" s="168"/>
      <c r="BV60" s="67"/>
      <c r="BW60" s="67"/>
      <c r="BX60" s="45"/>
      <c r="BY60" s="168"/>
      <c r="BZ60" s="67"/>
      <c r="CA60" s="67"/>
      <c r="CB60" s="45"/>
      <c r="CC60" s="168"/>
      <c r="CD60" s="67"/>
      <c r="CE60" s="67"/>
      <c r="CF60" s="45"/>
      <c r="CG60" s="136"/>
      <c r="CH60" s="169"/>
      <c r="CI60" s="166"/>
      <c r="CJ60" s="166"/>
      <c r="CK60" s="170"/>
      <c r="CL60" s="67"/>
      <c r="CM60" s="171"/>
      <c r="CO60" s="65"/>
      <c r="CP60" s="65"/>
    </row>
    <row r="61" spans="1:94" ht="26.25" customHeight="1" x14ac:dyDescent="0.25">
      <c r="A61" s="32"/>
      <c r="B61" s="73"/>
      <c r="C61" s="41" t="s">
        <v>28</v>
      </c>
      <c r="D61" s="111"/>
      <c r="E61" s="111"/>
      <c r="F61" s="52"/>
      <c r="G61" s="78"/>
      <c r="H61" s="145"/>
      <c r="I61" s="51"/>
      <c r="J61" s="56"/>
      <c r="K61" s="56"/>
      <c r="L61" s="54"/>
      <c r="M61" s="51"/>
      <c r="N61" s="56"/>
      <c r="O61" s="56"/>
      <c r="P61" s="54"/>
      <c r="Q61" s="51"/>
      <c r="R61" s="56"/>
      <c r="S61" s="56"/>
      <c r="T61" s="54"/>
      <c r="U61" s="51"/>
      <c r="V61" s="56"/>
      <c r="W61" s="56"/>
      <c r="X61" s="54"/>
      <c r="Y61" s="51"/>
      <c r="Z61" s="56"/>
      <c r="AA61" s="56"/>
      <c r="AB61" s="54"/>
      <c r="AC61" s="51"/>
      <c r="AD61" s="56"/>
      <c r="AE61" s="56"/>
      <c r="AF61" s="54"/>
      <c r="AG61" s="51"/>
      <c r="AH61" s="56"/>
      <c r="AI61" s="56"/>
      <c r="AJ61" s="54"/>
      <c r="AK61" s="51"/>
      <c r="AL61" s="56"/>
      <c r="AM61" s="56"/>
      <c r="AN61" s="54"/>
      <c r="AO61" s="51"/>
      <c r="AP61" s="56"/>
      <c r="AQ61" s="56"/>
      <c r="AR61" s="54"/>
      <c r="AS61" s="51"/>
      <c r="AT61" s="56"/>
      <c r="AU61" s="56"/>
      <c r="AV61" s="54"/>
      <c r="AW61" s="51"/>
      <c r="AX61" s="56"/>
      <c r="AY61" s="56"/>
      <c r="AZ61" s="54"/>
      <c r="BA61" s="51"/>
      <c r="BB61" s="56"/>
      <c r="BC61" s="56"/>
      <c r="BD61" s="54"/>
      <c r="BE61" s="51"/>
      <c r="BF61" s="56"/>
      <c r="BG61" s="56"/>
      <c r="BH61" s="54"/>
      <c r="BI61" s="51"/>
      <c r="BJ61" s="56"/>
      <c r="BK61" s="56"/>
      <c r="BL61" s="54"/>
      <c r="BM61" s="51"/>
      <c r="BN61" s="56"/>
      <c r="BO61" s="56"/>
      <c r="BP61" s="54"/>
      <c r="BQ61" s="51"/>
      <c r="BR61" s="56"/>
      <c r="BS61" s="56"/>
      <c r="BT61" s="54"/>
      <c r="BU61" s="51"/>
      <c r="BV61" s="56"/>
      <c r="BW61" s="56"/>
      <c r="BX61" s="54"/>
      <c r="BY61" s="51"/>
      <c r="BZ61" s="56"/>
      <c r="CA61" s="56"/>
      <c r="CB61" s="54"/>
      <c r="CC61" s="51"/>
      <c r="CD61" s="56"/>
      <c r="CE61" s="56"/>
      <c r="CF61" s="54"/>
      <c r="CG61" s="137"/>
      <c r="CH61" s="51"/>
      <c r="CI61" s="53"/>
      <c r="CJ61" s="53"/>
      <c r="CK61" s="55"/>
      <c r="CL61" s="56"/>
      <c r="CM61" s="57"/>
      <c r="CO61" s="65"/>
      <c r="CP61" s="65"/>
    </row>
    <row r="62" spans="1:94" s="104" customFormat="1" ht="26.25" customHeight="1" x14ac:dyDescent="0.25">
      <c r="A62" s="97"/>
      <c r="B62" s="98"/>
      <c r="C62" s="102" t="s">
        <v>80</v>
      </c>
      <c r="D62" s="110"/>
      <c r="E62" s="110"/>
      <c r="F62" s="106"/>
      <c r="G62" s="108"/>
      <c r="H62" s="165">
        <f>H129*0.25</f>
        <v>1000000</v>
      </c>
      <c r="I62" s="46"/>
      <c r="J62" s="49"/>
      <c r="K62" s="49"/>
      <c r="L62" s="107"/>
      <c r="M62" s="46"/>
      <c r="N62" s="49"/>
      <c r="O62" s="49"/>
      <c r="P62" s="107"/>
      <c r="Q62" s="46"/>
      <c r="R62" s="49"/>
      <c r="S62" s="49"/>
      <c r="T62" s="107"/>
      <c r="U62" s="46"/>
      <c r="V62" s="49"/>
      <c r="W62" s="49"/>
      <c r="X62" s="107"/>
      <c r="Y62" s="46"/>
      <c r="Z62" s="49"/>
      <c r="AA62" s="49"/>
      <c r="AB62" s="107"/>
      <c r="AC62" s="46"/>
      <c r="AD62" s="49"/>
      <c r="AE62" s="49"/>
      <c r="AF62" s="107"/>
      <c r="AG62" s="46"/>
      <c r="AH62" s="49"/>
      <c r="AI62" s="49"/>
      <c r="AJ62" s="107"/>
      <c r="AK62" s="46"/>
      <c r="AL62" s="49"/>
      <c r="AM62" s="49"/>
      <c r="AN62" s="107"/>
      <c r="AO62" s="46"/>
      <c r="AP62" s="49"/>
      <c r="AQ62" s="49"/>
      <c r="AR62" s="107"/>
      <c r="AS62" s="46"/>
      <c r="AT62" s="49"/>
      <c r="AU62" s="49"/>
      <c r="AV62" s="107"/>
      <c r="AW62" s="46"/>
      <c r="AX62" s="49"/>
      <c r="AY62" s="49"/>
      <c r="AZ62" s="107"/>
      <c r="BA62" s="46"/>
      <c r="BB62" s="49"/>
      <c r="BC62" s="49"/>
      <c r="BD62" s="107"/>
      <c r="BE62" s="46"/>
      <c r="BF62" s="49"/>
      <c r="BG62" s="49"/>
      <c r="BH62" s="107"/>
      <c r="BI62" s="46"/>
      <c r="BJ62" s="49"/>
      <c r="BK62" s="49"/>
      <c r="BL62" s="107"/>
      <c r="BM62" s="46"/>
      <c r="BN62" s="49"/>
      <c r="BO62" s="49"/>
      <c r="BP62" s="107"/>
      <c r="BQ62" s="46"/>
      <c r="BR62" s="49"/>
      <c r="BS62" s="49"/>
      <c r="BT62" s="107"/>
      <c r="BU62" s="46"/>
      <c r="BV62" s="49"/>
      <c r="BW62" s="49"/>
      <c r="BX62" s="107"/>
      <c r="BY62" s="46"/>
      <c r="BZ62" s="49"/>
      <c r="CA62" s="49"/>
      <c r="CB62" s="107"/>
      <c r="CC62" s="46"/>
      <c r="CD62" s="49"/>
      <c r="CE62" s="49"/>
      <c r="CF62" s="107"/>
      <c r="CG62" s="140"/>
      <c r="CH62" s="46"/>
      <c r="CI62" s="47"/>
      <c r="CJ62" s="47"/>
      <c r="CK62" s="48"/>
      <c r="CL62" s="49"/>
      <c r="CM62" s="50"/>
      <c r="CO62" s="105"/>
      <c r="CP62" s="105"/>
    </row>
    <row r="63" spans="1:94" ht="26.25" customHeight="1" x14ac:dyDescent="0.25">
      <c r="A63" s="32"/>
      <c r="B63" s="74">
        <v>46</v>
      </c>
      <c r="C63" s="113" t="s">
        <v>36</v>
      </c>
      <c r="D63" s="112">
        <v>30</v>
      </c>
      <c r="E63" s="130">
        <f>D63-I63-M63-Q63-U63-Y63-AC63-AK63-AO63-AS63-AW63-BA63-BE63-BI63</f>
        <v>30</v>
      </c>
      <c r="F63" s="44">
        <f>H63/D63</f>
        <v>1333.3333333333333</v>
      </c>
      <c r="G63" s="116"/>
      <c r="H63" s="45">
        <f>H62*0.04</f>
        <v>40000</v>
      </c>
      <c r="I63" s="66"/>
      <c r="J63" s="67">
        <f>I63*F63</f>
        <v>0</v>
      </c>
      <c r="K63" s="67">
        <f>I63*$G$63</f>
        <v>0</v>
      </c>
      <c r="L63" s="45">
        <f t="shared" ref="L63:L78" si="1131">SUM(J63:K63)</f>
        <v>0</v>
      </c>
      <c r="M63" s="66"/>
      <c r="N63" s="67">
        <f t="shared" ref="N63" si="1132">M63*$F$63</f>
        <v>0</v>
      </c>
      <c r="O63" s="67">
        <f t="shared" ref="O63" si="1133">M63*$G$63</f>
        <v>0</v>
      </c>
      <c r="P63" s="45">
        <f t="shared" ref="P63:P78" si="1134">SUM(N63:O63)</f>
        <v>0</v>
      </c>
      <c r="Q63" s="66"/>
      <c r="R63" s="67">
        <f t="shared" ref="R63" si="1135">Q63*$F$63</f>
        <v>0</v>
      </c>
      <c r="S63" s="67">
        <f t="shared" ref="S63" si="1136">Q63*$G$63</f>
        <v>0</v>
      </c>
      <c r="T63" s="45">
        <f t="shared" ref="T63:T78" si="1137">SUM(R63:S63)</f>
        <v>0</v>
      </c>
      <c r="U63" s="66"/>
      <c r="V63" s="67">
        <f t="shared" ref="V63" si="1138">U63*$F$63</f>
        <v>0</v>
      </c>
      <c r="W63" s="67">
        <f t="shared" ref="W63" si="1139">U63*$G$63</f>
        <v>0</v>
      </c>
      <c r="X63" s="45">
        <f t="shared" ref="X63:X78" si="1140">SUM(V63:W63)</f>
        <v>0</v>
      </c>
      <c r="Y63" s="66"/>
      <c r="Z63" s="67">
        <f t="shared" ref="Z63" si="1141">Y63*$F$63</f>
        <v>0</v>
      </c>
      <c r="AA63" s="67">
        <f t="shared" ref="AA63" si="1142">Y63*$G$63</f>
        <v>0</v>
      </c>
      <c r="AB63" s="45">
        <f t="shared" ref="AB63:AB78" si="1143">SUM(Z63:AA63)</f>
        <v>0</v>
      </c>
      <c r="AC63" s="66"/>
      <c r="AD63" s="67">
        <f t="shared" ref="AD63" si="1144">AC63*$F$63</f>
        <v>0</v>
      </c>
      <c r="AE63" s="67">
        <f t="shared" ref="AE63" si="1145">AC63*$G$63</f>
        <v>0</v>
      </c>
      <c r="AF63" s="45">
        <f t="shared" ref="AF63:AF78" si="1146">SUM(AD63:AE63)</f>
        <v>0</v>
      </c>
      <c r="AG63" s="66"/>
      <c r="AH63" s="67">
        <f t="shared" ref="AH63" si="1147">AG63*$F$63</f>
        <v>0</v>
      </c>
      <c r="AI63" s="67">
        <f t="shared" ref="AI63" si="1148">AG63*$G$63</f>
        <v>0</v>
      </c>
      <c r="AJ63" s="45">
        <f t="shared" ref="AJ63:AJ78" si="1149">SUM(AH63:AI63)</f>
        <v>0</v>
      </c>
      <c r="AK63" s="66"/>
      <c r="AL63" s="67">
        <f t="shared" ref="AL63" si="1150">AK63*$F$63</f>
        <v>0</v>
      </c>
      <c r="AM63" s="67">
        <f t="shared" ref="AM63" si="1151">AK63*$G$63</f>
        <v>0</v>
      </c>
      <c r="AN63" s="45">
        <f t="shared" ref="AN63:AN78" si="1152">SUM(AL63:AM63)</f>
        <v>0</v>
      </c>
      <c r="AO63" s="66"/>
      <c r="AP63" s="67">
        <f t="shared" ref="AP63" si="1153">AO63*$F$63</f>
        <v>0</v>
      </c>
      <c r="AQ63" s="67">
        <f t="shared" ref="AQ63" si="1154">AO63*$G$63</f>
        <v>0</v>
      </c>
      <c r="AR63" s="45">
        <f t="shared" ref="AR63:AR78" si="1155">SUM(AP63:AQ63)</f>
        <v>0</v>
      </c>
      <c r="AS63" s="66"/>
      <c r="AT63" s="67">
        <f t="shared" ref="AT63" si="1156">AS63*$F$63</f>
        <v>0</v>
      </c>
      <c r="AU63" s="67">
        <f t="shared" ref="AU63" si="1157">AS63*$G$63</f>
        <v>0</v>
      </c>
      <c r="AV63" s="45">
        <f t="shared" ref="AV63:AV78" si="1158">SUM(AT63:AU63)</f>
        <v>0</v>
      </c>
      <c r="AW63" s="66"/>
      <c r="AX63" s="67">
        <f t="shared" ref="AX63" si="1159">AW63*$F$63</f>
        <v>0</v>
      </c>
      <c r="AY63" s="67">
        <f t="shared" ref="AY63" si="1160">AW63*$G$63</f>
        <v>0</v>
      </c>
      <c r="AZ63" s="45">
        <f t="shared" ref="AZ63:AZ78" si="1161">SUM(AX63:AY63)</f>
        <v>0</v>
      </c>
      <c r="BA63" s="66"/>
      <c r="BB63" s="67">
        <f t="shared" ref="BB63" si="1162">BA63*$F$63</f>
        <v>0</v>
      </c>
      <c r="BC63" s="67"/>
      <c r="BD63" s="45">
        <f t="shared" ref="BD63:BD78" si="1163">SUM(BB63:BC63)</f>
        <v>0</v>
      </c>
      <c r="BE63" s="66"/>
      <c r="BF63" s="44">
        <f t="shared" ref="BF63" si="1164">F63*BE63</f>
        <v>0</v>
      </c>
      <c r="BG63" s="44">
        <f t="shared" ref="BG63" si="1165">G63*BE63</f>
        <v>0</v>
      </c>
      <c r="BH63" s="45">
        <f t="shared" ref="BH63" si="1166">BG63+BF63</f>
        <v>0</v>
      </c>
      <c r="BI63" s="66"/>
      <c r="BJ63" s="44">
        <f t="shared" ref="BJ63" si="1167">BI63*F63</f>
        <v>0</v>
      </c>
      <c r="BK63" s="44"/>
      <c r="BL63" s="45">
        <f t="shared" ref="BL63" si="1168">BK63+BJ63</f>
        <v>0</v>
      </c>
      <c r="BM63" s="66"/>
      <c r="BN63" s="67">
        <f t="shared" ref="BN63:BN78" si="1169">BM63*F63</f>
        <v>0</v>
      </c>
      <c r="BO63" s="67"/>
      <c r="BP63" s="45">
        <f t="shared" ref="BP63" si="1170">BO63+BN63</f>
        <v>0</v>
      </c>
      <c r="BQ63" s="66"/>
      <c r="BR63" s="44">
        <f t="shared" ref="BR63:BR78" si="1171">BQ63*F63</f>
        <v>0</v>
      </c>
      <c r="BS63" s="67"/>
      <c r="BT63" s="45">
        <f t="shared" ref="BT63:BT78" si="1172">BS63+BR63</f>
        <v>0</v>
      </c>
      <c r="BU63" s="66"/>
      <c r="BV63" s="44">
        <f t="shared" ref="BV63:BV78" si="1173">F63*BU63</f>
        <v>0</v>
      </c>
      <c r="BW63" s="67"/>
      <c r="BX63" s="45">
        <f t="shared" ref="BX63:BX78" si="1174">BW63+BV63</f>
        <v>0</v>
      </c>
      <c r="BY63" s="66"/>
      <c r="BZ63" s="44">
        <f t="shared" ref="BZ63:BZ74" si="1175">BY63*J63</f>
        <v>0</v>
      </c>
      <c r="CA63" s="67"/>
      <c r="CB63" s="45">
        <f t="shared" ref="CB63:CB72" si="1176">CA63+BZ63</f>
        <v>0</v>
      </c>
      <c r="CC63" s="66"/>
      <c r="CD63" s="44">
        <f t="shared" ref="CD63:CD78" si="1177">CC63*N63</f>
        <v>0</v>
      </c>
      <c r="CE63" s="67"/>
      <c r="CF63" s="45">
        <f t="shared" ref="CF63:CF78" si="1178">CE63+CD63</f>
        <v>0</v>
      </c>
      <c r="CG63" s="136"/>
      <c r="CH63" s="91">
        <f t="shared" ref="CH63:CH78" si="1179">I63+M63+Q63+U63+Y63+AC63+AG63+AK63+AO63+BA63+BE63+BI63+BM63+BQ63+BU63+BY63+CC63</f>
        <v>0</v>
      </c>
      <c r="CI63" s="47">
        <f t="shared" ref="CI63:CI80" si="1180">CH63*F63</f>
        <v>0</v>
      </c>
      <c r="CJ63" s="47">
        <f t="shared" ref="CJ63:CJ80" si="1181">CH63*G63</f>
        <v>0</v>
      </c>
      <c r="CK63" s="48">
        <f t="shared" si="46"/>
        <v>0</v>
      </c>
      <c r="CL63" s="49">
        <f t="shared" ref="CL63:CL80" si="1182">D63-CH63</f>
        <v>30</v>
      </c>
      <c r="CM63" s="50">
        <f t="shared" ref="CM63:CM80" si="1183">H63-CK63</f>
        <v>40000</v>
      </c>
      <c r="CO63" s="65"/>
      <c r="CP63" s="65"/>
    </row>
    <row r="64" spans="1:94" ht="26.25" customHeight="1" x14ac:dyDescent="0.25">
      <c r="A64" s="32"/>
      <c r="B64" s="74">
        <v>47</v>
      </c>
      <c r="C64" s="113" t="s">
        <v>37</v>
      </c>
      <c r="D64" s="112">
        <v>30</v>
      </c>
      <c r="E64" s="130">
        <f t="shared" ref="E64:E78" si="1184">D64-I64-M64-Q64-U64-Y64-AC64-AK64-AO64-AS64-AW64-BA64-BE64-BI64</f>
        <v>30</v>
      </c>
      <c r="F64" s="44">
        <f t="shared" ref="F64:F78" si="1185">H64/D64</f>
        <v>1333.3333333333333</v>
      </c>
      <c r="G64" s="116"/>
      <c r="H64" s="45">
        <f>H62*0.04</f>
        <v>40000</v>
      </c>
      <c r="I64" s="66"/>
      <c r="J64" s="67">
        <f t="shared" ref="J64:J78" si="1186">I64*F64</f>
        <v>0</v>
      </c>
      <c r="K64" s="67">
        <f>I64*$G$64</f>
        <v>0</v>
      </c>
      <c r="L64" s="45">
        <f>SUM(J64:K64)</f>
        <v>0</v>
      </c>
      <c r="M64" s="66"/>
      <c r="N64" s="67">
        <f t="shared" ref="N64" si="1187">M64*$F$64</f>
        <v>0</v>
      </c>
      <c r="O64" s="67">
        <f t="shared" ref="O64" si="1188">M64*$G$64</f>
        <v>0</v>
      </c>
      <c r="P64" s="45">
        <f t="shared" si="1134"/>
        <v>0</v>
      </c>
      <c r="Q64" s="66"/>
      <c r="R64" s="67">
        <f t="shared" ref="R64" si="1189">Q64*$F$64</f>
        <v>0</v>
      </c>
      <c r="S64" s="67">
        <f t="shared" ref="S64" si="1190">Q64*$G$64</f>
        <v>0</v>
      </c>
      <c r="T64" s="45">
        <f t="shared" si="1137"/>
        <v>0</v>
      </c>
      <c r="U64" s="66"/>
      <c r="V64" s="67">
        <f t="shared" ref="V64" si="1191">U64*$F$64</f>
        <v>0</v>
      </c>
      <c r="W64" s="67">
        <f t="shared" ref="W64" si="1192">U64*$G$64</f>
        <v>0</v>
      </c>
      <c r="X64" s="45">
        <f t="shared" si="1140"/>
        <v>0</v>
      </c>
      <c r="Y64" s="66"/>
      <c r="Z64" s="67">
        <f t="shared" ref="Z64" si="1193">Y64*$F$64</f>
        <v>0</v>
      </c>
      <c r="AA64" s="67">
        <f t="shared" ref="AA64" si="1194">Y64*$G$64</f>
        <v>0</v>
      </c>
      <c r="AB64" s="45">
        <f t="shared" si="1143"/>
        <v>0</v>
      </c>
      <c r="AC64" s="66"/>
      <c r="AD64" s="67">
        <f t="shared" ref="AD64" si="1195">AC64*$F$64</f>
        <v>0</v>
      </c>
      <c r="AE64" s="67">
        <f t="shared" ref="AE64" si="1196">AC64*$G$64</f>
        <v>0</v>
      </c>
      <c r="AF64" s="45">
        <f t="shared" si="1146"/>
        <v>0</v>
      </c>
      <c r="AG64" s="66"/>
      <c r="AH64" s="67">
        <f t="shared" ref="AH64" si="1197">AG64*$F$64</f>
        <v>0</v>
      </c>
      <c r="AI64" s="67">
        <f t="shared" ref="AI64" si="1198">AG64*$G$64</f>
        <v>0</v>
      </c>
      <c r="AJ64" s="45">
        <f t="shared" si="1149"/>
        <v>0</v>
      </c>
      <c r="AK64" s="66"/>
      <c r="AL64" s="67">
        <f t="shared" ref="AL64" si="1199">AK64*$F$64</f>
        <v>0</v>
      </c>
      <c r="AM64" s="67">
        <f t="shared" ref="AM64" si="1200">AK64*$G$64</f>
        <v>0</v>
      </c>
      <c r="AN64" s="45">
        <f t="shared" si="1152"/>
        <v>0</v>
      </c>
      <c r="AO64" s="66"/>
      <c r="AP64" s="67">
        <f t="shared" ref="AP64" si="1201">AO64*$F$64</f>
        <v>0</v>
      </c>
      <c r="AQ64" s="67">
        <f t="shared" ref="AQ64" si="1202">AO64*$G$64</f>
        <v>0</v>
      </c>
      <c r="AR64" s="45">
        <f t="shared" si="1155"/>
        <v>0</v>
      </c>
      <c r="AS64" s="66"/>
      <c r="AT64" s="67">
        <f t="shared" ref="AT64" si="1203">AS64*$F$64</f>
        <v>0</v>
      </c>
      <c r="AU64" s="67">
        <f t="shared" ref="AU64" si="1204">AS64*$G$64</f>
        <v>0</v>
      </c>
      <c r="AV64" s="45">
        <f t="shared" si="1158"/>
        <v>0</v>
      </c>
      <c r="AW64" s="66"/>
      <c r="AX64" s="67">
        <f t="shared" ref="AX64" si="1205">AW64*$F$64</f>
        <v>0</v>
      </c>
      <c r="AY64" s="67">
        <f t="shared" ref="AY64" si="1206">AW64*$G$64</f>
        <v>0</v>
      </c>
      <c r="AZ64" s="45">
        <f t="shared" si="1161"/>
        <v>0</v>
      </c>
      <c r="BA64" s="66"/>
      <c r="BB64" s="67">
        <f t="shared" ref="BB64" si="1207">BA64*$F$64</f>
        <v>0</v>
      </c>
      <c r="BC64" s="67"/>
      <c r="BD64" s="45">
        <f t="shared" si="1163"/>
        <v>0</v>
      </c>
      <c r="BE64" s="66"/>
      <c r="BF64" s="44">
        <f t="shared" ref="BF64:BF78" si="1208">F64*BE64</f>
        <v>0</v>
      </c>
      <c r="BG64" s="44">
        <f t="shared" ref="BG64:BG78" si="1209">G64*BE64</f>
        <v>0</v>
      </c>
      <c r="BH64" s="45">
        <f t="shared" ref="BH64:BH78" si="1210">BG64+BF64</f>
        <v>0</v>
      </c>
      <c r="BI64" s="66"/>
      <c r="BJ64" s="44">
        <f t="shared" ref="BJ64:BJ78" si="1211">BI64*F64</f>
        <v>0</v>
      </c>
      <c r="BK64" s="44"/>
      <c r="BL64" s="45">
        <f t="shared" ref="BL64:BL78" si="1212">BK64+BJ64</f>
        <v>0</v>
      </c>
      <c r="BM64" s="66"/>
      <c r="BN64" s="67">
        <f t="shared" si="1169"/>
        <v>0</v>
      </c>
      <c r="BO64" s="67"/>
      <c r="BP64" s="45">
        <f t="shared" ref="BP64:BP78" si="1213">BO64+BN64</f>
        <v>0</v>
      </c>
      <c r="BQ64" s="66"/>
      <c r="BR64" s="44">
        <f t="shared" si="1171"/>
        <v>0</v>
      </c>
      <c r="BS64" s="67"/>
      <c r="BT64" s="45">
        <f t="shared" si="1172"/>
        <v>0</v>
      </c>
      <c r="BU64" s="66"/>
      <c r="BV64" s="44">
        <f t="shared" si="1173"/>
        <v>0</v>
      </c>
      <c r="BW64" s="67"/>
      <c r="BX64" s="45">
        <f t="shared" si="1174"/>
        <v>0</v>
      </c>
      <c r="BY64" s="66"/>
      <c r="BZ64" s="44">
        <f t="shared" si="1175"/>
        <v>0</v>
      </c>
      <c r="CA64" s="67"/>
      <c r="CB64" s="45">
        <f t="shared" si="1176"/>
        <v>0</v>
      </c>
      <c r="CC64" s="66"/>
      <c r="CD64" s="44">
        <f t="shared" si="1177"/>
        <v>0</v>
      </c>
      <c r="CE64" s="67"/>
      <c r="CF64" s="45">
        <f t="shared" si="1178"/>
        <v>0</v>
      </c>
      <c r="CG64" s="136"/>
      <c r="CH64" s="91">
        <f t="shared" si="1179"/>
        <v>0</v>
      </c>
      <c r="CI64" s="47">
        <f t="shared" si="1180"/>
        <v>0</v>
      </c>
      <c r="CJ64" s="47">
        <f t="shared" si="1181"/>
        <v>0</v>
      </c>
      <c r="CK64" s="48">
        <f t="shared" ref="CK64:CK78" si="1214">SUM(CI64:CJ64)</f>
        <v>0</v>
      </c>
      <c r="CL64" s="49">
        <f t="shared" si="1182"/>
        <v>30</v>
      </c>
      <c r="CM64" s="50">
        <f t="shared" si="1183"/>
        <v>40000</v>
      </c>
      <c r="CO64" s="65"/>
      <c r="CP64" s="65"/>
    </row>
    <row r="65" spans="1:94" ht="26.25" customHeight="1" x14ac:dyDescent="0.25">
      <c r="A65" s="32"/>
      <c r="B65" s="74">
        <v>48</v>
      </c>
      <c r="C65" s="113" t="s">
        <v>38</v>
      </c>
      <c r="D65" s="112">
        <v>30</v>
      </c>
      <c r="E65" s="130">
        <f t="shared" si="1184"/>
        <v>30</v>
      </c>
      <c r="F65" s="44">
        <f t="shared" si="1185"/>
        <v>2000</v>
      </c>
      <c r="G65" s="116"/>
      <c r="H65" s="45">
        <f>H62*0.06</f>
        <v>60000</v>
      </c>
      <c r="I65" s="66"/>
      <c r="J65" s="67">
        <f t="shared" si="1186"/>
        <v>0</v>
      </c>
      <c r="K65" s="67">
        <f>I65*$G$65</f>
        <v>0</v>
      </c>
      <c r="L65" s="45">
        <f t="shared" si="1131"/>
        <v>0</v>
      </c>
      <c r="M65" s="66"/>
      <c r="N65" s="67">
        <f t="shared" ref="N65" si="1215">M65*$F$65</f>
        <v>0</v>
      </c>
      <c r="O65" s="67">
        <f t="shared" ref="O65" si="1216">M65*$G$65</f>
        <v>0</v>
      </c>
      <c r="P65" s="45">
        <f t="shared" si="1134"/>
        <v>0</v>
      </c>
      <c r="Q65" s="66"/>
      <c r="R65" s="67">
        <f t="shared" ref="R65" si="1217">Q65*$F$65</f>
        <v>0</v>
      </c>
      <c r="S65" s="67">
        <f t="shared" ref="S65" si="1218">Q65*$G$65</f>
        <v>0</v>
      </c>
      <c r="T65" s="45">
        <f t="shared" si="1137"/>
        <v>0</v>
      </c>
      <c r="U65" s="66"/>
      <c r="V65" s="67">
        <f t="shared" ref="V65" si="1219">U65*$F$65</f>
        <v>0</v>
      </c>
      <c r="W65" s="67">
        <f t="shared" ref="W65" si="1220">U65*$G$65</f>
        <v>0</v>
      </c>
      <c r="X65" s="45">
        <f t="shared" si="1140"/>
        <v>0</v>
      </c>
      <c r="Y65" s="66"/>
      <c r="Z65" s="67">
        <f t="shared" ref="Z65" si="1221">Y65*$F$65</f>
        <v>0</v>
      </c>
      <c r="AA65" s="67">
        <f t="shared" ref="AA65" si="1222">Y65*$G$65</f>
        <v>0</v>
      </c>
      <c r="AB65" s="45">
        <f t="shared" si="1143"/>
        <v>0</v>
      </c>
      <c r="AC65" s="66"/>
      <c r="AD65" s="67">
        <f t="shared" ref="AD65" si="1223">AC65*$F$65</f>
        <v>0</v>
      </c>
      <c r="AE65" s="67">
        <f t="shared" ref="AE65" si="1224">AC65*$G$65</f>
        <v>0</v>
      </c>
      <c r="AF65" s="45">
        <f t="shared" si="1146"/>
        <v>0</v>
      </c>
      <c r="AG65" s="66"/>
      <c r="AH65" s="67">
        <f t="shared" ref="AH65" si="1225">AG65*$F$65</f>
        <v>0</v>
      </c>
      <c r="AI65" s="67">
        <f t="shared" ref="AI65" si="1226">AG65*$G$65</f>
        <v>0</v>
      </c>
      <c r="AJ65" s="45">
        <f t="shared" si="1149"/>
        <v>0</v>
      </c>
      <c r="AK65" s="66"/>
      <c r="AL65" s="67">
        <f t="shared" ref="AL65" si="1227">AK65*$F$65</f>
        <v>0</v>
      </c>
      <c r="AM65" s="67">
        <f t="shared" ref="AM65" si="1228">AK65*$G$65</f>
        <v>0</v>
      </c>
      <c r="AN65" s="45">
        <f t="shared" si="1152"/>
        <v>0</v>
      </c>
      <c r="AO65" s="66"/>
      <c r="AP65" s="67">
        <f t="shared" ref="AP65" si="1229">AO65*$F$65</f>
        <v>0</v>
      </c>
      <c r="AQ65" s="67">
        <f t="shared" ref="AQ65" si="1230">AO65*$G$65</f>
        <v>0</v>
      </c>
      <c r="AR65" s="45">
        <f t="shared" si="1155"/>
        <v>0</v>
      </c>
      <c r="AS65" s="66"/>
      <c r="AT65" s="67">
        <f t="shared" ref="AT65" si="1231">AS65*$F$65</f>
        <v>0</v>
      </c>
      <c r="AU65" s="67">
        <f t="shared" ref="AU65" si="1232">AS65*$G$65</f>
        <v>0</v>
      </c>
      <c r="AV65" s="45">
        <f t="shared" si="1158"/>
        <v>0</v>
      </c>
      <c r="AW65" s="66"/>
      <c r="AX65" s="67">
        <f t="shared" ref="AX65" si="1233">AW65*$F$65</f>
        <v>0</v>
      </c>
      <c r="AY65" s="67">
        <f t="shared" ref="AY65" si="1234">AW65*$G$65</f>
        <v>0</v>
      </c>
      <c r="AZ65" s="45">
        <f t="shared" si="1161"/>
        <v>0</v>
      </c>
      <c r="BA65" s="66"/>
      <c r="BB65" s="67">
        <f t="shared" ref="BB65" si="1235">BA65*$F$65</f>
        <v>0</v>
      </c>
      <c r="BC65" s="67"/>
      <c r="BD65" s="45">
        <f t="shared" si="1163"/>
        <v>0</v>
      </c>
      <c r="BE65" s="66"/>
      <c r="BF65" s="44">
        <f t="shared" si="1208"/>
        <v>0</v>
      </c>
      <c r="BG65" s="44"/>
      <c r="BH65" s="45">
        <f t="shared" si="1210"/>
        <v>0</v>
      </c>
      <c r="BI65" s="66"/>
      <c r="BJ65" s="44">
        <f t="shared" si="1211"/>
        <v>0</v>
      </c>
      <c r="BK65" s="44"/>
      <c r="BL65" s="45">
        <f t="shared" si="1212"/>
        <v>0</v>
      </c>
      <c r="BM65" s="66"/>
      <c r="BN65" s="67">
        <f t="shared" si="1169"/>
        <v>0</v>
      </c>
      <c r="BO65" s="67"/>
      <c r="BP65" s="45">
        <f t="shared" si="1213"/>
        <v>0</v>
      </c>
      <c r="BQ65" s="66"/>
      <c r="BR65" s="44">
        <f t="shared" si="1171"/>
        <v>0</v>
      </c>
      <c r="BS65" s="67"/>
      <c r="BT65" s="45">
        <f t="shared" si="1172"/>
        <v>0</v>
      </c>
      <c r="BU65" s="66"/>
      <c r="BV65" s="44">
        <f t="shared" si="1173"/>
        <v>0</v>
      </c>
      <c r="BW65" s="67"/>
      <c r="BX65" s="45">
        <f t="shared" si="1174"/>
        <v>0</v>
      </c>
      <c r="BY65" s="66"/>
      <c r="BZ65" s="44">
        <f t="shared" si="1175"/>
        <v>0</v>
      </c>
      <c r="CA65" s="67"/>
      <c r="CB65" s="45">
        <f t="shared" si="1176"/>
        <v>0</v>
      </c>
      <c r="CC65" s="66"/>
      <c r="CD65" s="44">
        <f t="shared" si="1177"/>
        <v>0</v>
      </c>
      <c r="CE65" s="67"/>
      <c r="CF65" s="45">
        <f t="shared" si="1178"/>
        <v>0</v>
      </c>
      <c r="CG65" s="136"/>
      <c r="CH65" s="91">
        <f t="shared" si="1179"/>
        <v>0</v>
      </c>
      <c r="CI65" s="47">
        <f t="shared" si="1180"/>
        <v>0</v>
      </c>
      <c r="CJ65" s="47">
        <f t="shared" si="1181"/>
        <v>0</v>
      </c>
      <c r="CK65" s="48">
        <f t="shared" si="1214"/>
        <v>0</v>
      </c>
      <c r="CL65" s="49">
        <f t="shared" si="1182"/>
        <v>30</v>
      </c>
      <c r="CM65" s="50">
        <f t="shared" si="1183"/>
        <v>60000</v>
      </c>
      <c r="CO65" s="65"/>
      <c r="CP65" s="65"/>
    </row>
    <row r="66" spans="1:94" ht="26.25" customHeight="1" x14ac:dyDescent="0.25">
      <c r="A66" s="32"/>
      <c r="B66" s="74">
        <v>49</v>
      </c>
      <c r="C66" s="113" t="s">
        <v>39</v>
      </c>
      <c r="D66" s="112">
        <v>30</v>
      </c>
      <c r="E66" s="130">
        <f t="shared" si="1184"/>
        <v>30</v>
      </c>
      <c r="F66" s="44">
        <f t="shared" si="1185"/>
        <v>2000</v>
      </c>
      <c r="G66" s="116"/>
      <c r="H66" s="45">
        <f>H62*0.06</f>
        <v>60000</v>
      </c>
      <c r="I66" s="66"/>
      <c r="J66" s="67">
        <f t="shared" si="1186"/>
        <v>0</v>
      </c>
      <c r="K66" s="67">
        <f>I66*$G$66</f>
        <v>0</v>
      </c>
      <c r="L66" s="45">
        <f t="shared" si="1131"/>
        <v>0</v>
      </c>
      <c r="M66" s="66"/>
      <c r="N66" s="67">
        <f t="shared" ref="N66" si="1236">M66*$F$66</f>
        <v>0</v>
      </c>
      <c r="O66" s="67">
        <f t="shared" ref="O66" si="1237">M66*$G$66</f>
        <v>0</v>
      </c>
      <c r="P66" s="45">
        <f t="shared" si="1134"/>
        <v>0</v>
      </c>
      <c r="Q66" s="66"/>
      <c r="R66" s="67">
        <f t="shared" ref="R66" si="1238">Q66*$F$66</f>
        <v>0</v>
      </c>
      <c r="S66" s="67">
        <f t="shared" ref="S66" si="1239">Q66*$G$66</f>
        <v>0</v>
      </c>
      <c r="T66" s="45">
        <f t="shared" si="1137"/>
        <v>0</v>
      </c>
      <c r="U66" s="66"/>
      <c r="V66" s="67">
        <f t="shared" ref="V66" si="1240">U66*$F$66</f>
        <v>0</v>
      </c>
      <c r="W66" s="67">
        <f t="shared" ref="W66" si="1241">U66*$G$66</f>
        <v>0</v>
      </c>
      <c r="X66" s="45">
        <f t="shared" si="1140"/>
        <v>0</v>
      </c>
      <c r="Y66" s="66"/>
      <c r="Z66" s="67">
        <f t="shared" ref="Z66" si="1242">Y66*$F$66</f>
        <v>0</v>
      </c>
      <c r="AA66" s="67">
        <f t="shared" ref="AA66" si="1243">Y66*$G$66</f>
        <v>0</v>
      </c>
      <c r="AB66" s="45">
        <f t="shared" si="1143"/>
        <v>0</v>
      </c>
      <c r="AC66" s="66"/>
      <c r="AD66" s="67">
        <f t="shared" ref="AD66" si="1244">AC66*$F$66</f>
        <v>0</v>
      </c>
      <c r="AE66" s="67">
        <f t="shared" ref="AE66" si="1245">AC66*$G$66</f>
        <v>0</v>
      </c>
      <c r="AF66" s="45">
        <f t="shared" si="1146"/>
        <v>0</v>
      </c>
      <c r="AG66" s="66"/>
      <c r="AH66" s="67">
        <f t="shared" ref="AH66" si="1246">AG66*$F$66</f>
        <v>0</v>
      </c>
      <c r="AI66" s="67">
        <f t="shared" ref="AI66" si="1247">AG66*$G$66</f>
        <v>0</v>
      </c>
      <c r="AJ66" s="45">
        <f t="shared" si="1149"/>
        <v>0</v>
      </c>
      <c r="AK66" s="66"/>
      <c r="AL66" s="67">
        <f t="shared" ref="AL66" si="1248">AK66*$F$66</f>
        <v>0</v>
      </c>
      <c r="AM66" s="67">
        <f t="shared" ref="AM66" si="1249">AK66*$G$66</f>
        <v>0</v>
      </c>
      <c r="AN66" s="45">
        <f t="shared" si="1152"/>
        <v>0</v>
      </c>
      <c r="AO66" s="66"/>
      <c r="AP66" s="67">
        <f t="shared" ref="AP66" si="1250">AO66*$F$66</f>
        <v>0</v>
      </c>
      <c r="AQ66" s="67">
        <f t="shared" ref="AQ66" si="1251">AO66*$G$66</f>
        <v>0</v>
      </c>
      <c r="AR66" s="45">
        <f t="shared" si="1155"/>
        <v>0</v>
      </c>
      <c r="AS66" s="66"/>
      <c r="AT66" s="67">
        <f t="shared" ref="AT66" si="1252">AS66*$F$66</f>
        <v>0</v>
      </c>
      <c r="AU66" s="67">
        <f t="shared" ref="AU66" si="1253">AS66*$G$66</f>
        <v>0</v>
      </c>
      <c r="AV66" s="45">
        <f t="shared" si="1158"/>
        <v>0</v>
      </c>
      <c r="AW66" s="66"/>
      <c r="AX66" s="67">
        <f t="shared" ref="AX66" si="1254">AW66*$F$66</f>
        <v>0</v>
      </c>
      <c r="AY66" s="67">
        <f t="shared" ref="AY66" si="1255">AW66*$G$66</f>
        <v>0</v>
      </c>
      <c r="AZ66" s="45">
        <f t="shared" si="1161"/>
        <v>0</v>
      </c>
      <c r="BA66" s="66"/>
      <c r="BB66" s="67">
        <f t="shared" ref="BB66" si="1256">BA66*$F$66</f>
        <v>0</v>
      </c>
      <c r="BC66" s="67"/>
      <c r="BD66" s="45">
        <f t="shared" si="1163"/>
        <v>0</v>
      </c>
      <c r="BE66" s="66"/>
      <c r="BF66" s="44">
        <f t="shared" si="1208"/>
        <v>0</v>
      </c>
      <c r="BG66" s="44"/>
      <c r="BH66" s="45">
        <f t="shared" si="1210"/>
        <v>0</v>
      </c>
      <c r="BI66" s="66"/>
      <c r="BJ66" s="44">
        <f t="shared" si="1211"/>
        <v>0</v>
      </c>
      <c r="BK66" s="44"/>
      <c r="BL66" s="45">
        <f t="shared" si="1212"/>
        <v>0</v>
      </c>
      <c r="BM66" s="66"/>
      <c r="BN66" s="67">
        <f t="shared" si="1169"/>
        <v>0</v>
      </c>
      <c r="BO66" s="67"/>
      <c r="BP66" s="45">
        <f t="shared" si="1213"/>
        <v>0</v>
      </c>
      <c r="BQ66" s="66"/>
      <c r="BR66" s="44">
        <f t="shared" si="1171"/>
        <v>0</v>
      </c>
      <c r="BS66" s="67"/>
      <c r="BT66" s="45">
        <f t="shared" si="1172"/>
        <v>0</v>
      </c>
      <c r="BU66" s="66"/>
      <c r="BV66" s="44">
        <f t="shared" si="1173"/>
        <v>0</v>
      </c>
      <c r="BW66" s="67"/>
      <c r="BX66" s="45">
        <f t="shared" si="1174"/>
        <v>0</v>
      </c>
      <c r="BY66" s="66"/>
      <c r="BZ66" s="44">
        <f t="shared" si="1175"/>
        <v>0</v>
      </c>
      <c r="CA66" s="67"/>
      <c r="CB66" s="45">
        <f t="shared" si="1176"/>
        <v>0</v>
      </c>
      <c r="CC66" s="66"/>
      <c r="CD66" s="44">
        <f t="shared" si="1177"/>
        <v>0</v>
      </c>
      <c r="CE66" s="67"/>
      <c r="CF66" s="45">
        <f t="shared" si="1178"/>
        <v>0</v>
      </c>
      <c r="CG66" s="136"/>
      <c r="CH66" s="91">
        <f t="shared" si="1179"/>
        <v>0</v>
      </c>
      <c r="CI66" s="47">
        <f t="shared" si="1180"/>
        <v>0</v>
      </c>
      <c r="CJ66" s="47">
        <f t="shared" si="1181"/>
        <v>0</v>
      </c>
      <c r="CK66" s="48">
        <f t="shared" si="1214"/>
        <v>0</v>
      </c>
      <c r="CL66" s="49">
        <f t="shared" si="1182"/>
        <v>30</v>
      </c>
      <c r="CM66" s="50">
        <f t="shared" si="1183"/>
        <v>60000</v>
      </c>
      <c r="CO66" s="65"/>
      <c r="CP66" s="65"/>
    </row>
    <row r="67" spans="1:94" ht="26.25" customHeight="1" x14ac:dyDescent="0.25">
      <c r="A67" s="32"/>
      <c r="B67" s="74">
        <v>50</v>
      </c>
      <c r="C67" s="113" t="s">
        <v>57</v>
      </c>
      <c r="D67" s="112">
        <v>30</v>
      </c>
      <c r="E67" s="130">
        <f t="shared" si="1184"/>
        <v>30</v>
      </c>
      <c r="F67" s="44">
        <f t="shared" si="1185"/>
        <v>1666.6666666666667</v>
      </c>
      <c r="G67" s="116"/>
      <c r="H67" s="45">
        <f>H62*0.05</f>
        <v>50000</v>
      </c>
      <c r="I67" s="66"/>
      <c r="J67" s="67">
        <f t="shared" si="1186"/>
        <v>0</v>
      </c>
      <c r="K67" s="67">
        <f>I67*$G$67</f>
        <v>0</v>
      </c>
      <c r="L67" s="45">
        <f t="shared" si="1131"/>
        <v>0</v>
      </c>
      <c r="M67" s="66"/>
      <c r="N67" s="67">
        <f t="shared" ref="N67" si="1257">M67*$F$67</f>
        <v>0</v>
      </c>
      <c r="O67" s="67">
        <f t="shared" ref="O67" si="1258">M67*$G$67</f>
        <v>0</v>
      </c>
      <c r="P67" s="45">
        <f t="shared" si="1134"/>
        <v>0</v>
      </c>
      <c r="Q67" s="66"/>
      <c r="R67" s="67">
        <f t="shared" ref="R67" si="1259">Q67*$F$67</f>
        <v>0</v>
      </c>
      <c r="S67" s="67">
        <f t="shared" ref="S67" si="1260">Q67*$G$67</f>
        <v>0</v>
      </c>
      <c r="T67" s="45">
        <f t="shared" si="1137"/>
        <v>0</v>
      </c>
      <c r="U67" s="66"/>
      <c r="V67" s="67">
        <f t="shared" ref="V67" si="1261">U67*$F$67</f>
        <v>0</v>
      </c>
      <c r="W67" s="67">
        <f t="shared" ref="W67" si="1262">U67*$G$67</f>
        <v>0</v>
      </c>
      <c r="X67" s="45">
        <f t="shared" si="1140"/>
        <v>0</v>
      </c>
      <c r="Y67" s="66"/>
      <c r="Z67" s="67">
        <f t="shared" ref="Z67" si="1263">Y67*$F$67</f>
        <v>0</v>
      </c>
      <c r="AA67" s="67">
        <f t="shared" ref="AA67" si="1264">Y67*$G$67</f>
        <v>0</v>
      </c>
      <c r="AB67" s="45">
        <f t="shared" si="1143"/>
        <v>0</v>
      </c>
      <c r="AC67" s="66"/>
      <c r="AD67" s="67">
        <f t="shared" ref="AD67" si="1265">AC67*$F$67</f>
        <v>0</v>
      </c>
      <c r="AE67" s="67">
        <f t="shared" ref="AE67" si="1266">AC67*$G$67</f>
        <v>0</v>
      </c>
      <c r="AF67" s="45">
        <f t="shared" si="1146"/>
        <v>0</v>
      </c>
      <c r="AG67" s="66"/>
      <c r="AH67" s="67">
        <f t="shared" ref="AH67" si="1267">AG67*$F$67</f>
        <v>0</v>
      </c>
      <c r="AI67" s="67">
        <f t="shared" ref="AI67" si="1268">AG67*$G$67</f>
        <v>0</v>
      </c>
      <c r="AJ67" s="45">
        <f t="shared" si="1149"/>
        <v>0</v>
      </c>
      <c r="AK67" s="66"/>
      <c r="AL67" s="67">
        <f t="shared" ref="AL67" si="1269">AK67*$F$67</f>
        <v>0</v>
      </c>
      <c r="AM67" s="67">
        <f t="shared" ref="AM67" si="1270">AK67*$G$67</f>
        <v>0</v>
      </c>
      <c r="AN67" s="45">
        <f t="shared" si="1152"/>
        <v>0</v>
      </c>
      <c r="AO67" s="66"/>
      <c r="AP67" s="67">
        <f t="shared" ref="AP67" si="1271">AO67*$F$67</f>
        <v>0</v>
      </c>
      <c r="AQ67" s="67">
        <f t="shared" ref="AQ67" si="1272">AO67*$G$67</f>
        <v>0</v>
      </c>
      <c r="AR67" s="45">
        <f t="shared" si="1155"/>
        <v>0</v>
      </c>
      <c r="AS67" s="66"/>
      <c r="AT67" s="67">
        <f t="shared" ref="AT67" si="1273">AS67*$F$67</f>
        <v>0</v>
      </c>
      <c r="AU67" s="67">
        <f t="shared" ref="AU67" si="1274">AS67*$G$67</f>
        <v>0</v>
      </c>
      <c r="AV67" s="45">
        <f t="shared" si="1158"/>
        <v>0</v>
      </c>
      <c r="AW67" s="66"/>
      <c r="AX67" s="67">
        <f t="shared" ref="AX67" si="1275">AW67*$F$67</f>
        <v>0</v>
      </c>
      <c r="AY67" s="67">
        <f t="shared" ref="AY67" si="1276">AW67*$G$67</f>
        <v>0</v>
      </c>
      <c r="AZ67" s="45">
        <f t="shared" si="1161"/>
        <v>0</v>
      </c>
      <c r="BA67" s="66"/>
      <c r="BB67" s="67">
        <f t="shared" ref="BB67" si="1277">BA67*$F$67</f>
        <v>0</v>
      </c>
      <c r="BC67" s="67"/>
      <c r="BD67" s="45">
        <f t="shared" si="1163"/>
        <v>0</v>
      </c>
      <c r="BE67" s="66"/>
      <c r="BF67" s="44">
        <f t="shared" si="1208"/>
        <v>0</v>
      </c>
      <c r="BG67" s="44"/>
      <c r="BH67" s="45">
        <f t="shared" si="1210"/>
        <v>0</v>
      </c>
      <c r="BI67" s="66"/>
      <c r="BJ67" s="44">
        <f t="shared" si="1211"/>
        <v>0</v>
      </c>
      <c r="BK67" s="44"/>
      <c r="BL67" s="45">
        <f t="shared" si="1212"/>
        <v>0</v>
      </c>
      <c r="BM67" s="66"/>
      <c r="BN67" s="67">
        <f t="shared" si="1169"/>
        <v>0</v>
      </c>
      <c r="BO67" s="67"/>
      <c r="BP67" s="45">
        <f t="shared" si="1213"/>
        <v>0</v>
      </c>
      <c r="BQ67" s="66"/>
      <c r="BR67" s="44">
        <f t="shared" si="1171"/>
        <v>0</v>
      </c>
      <c r="BS67" s="67"/>
      <c r="BT67" s="45">
        <f t="shared" si="1172"/>
        <v>0</v>
      </c>
      <c r="BU67" s="66"/>
      <c r="BV67" s="44">
        <f t="shared" si="1173"/>
        <v>0</v>
      </c>
      <c r="BW67" s="67"/>
      <c r="BX67" s="45">
        <f t="shared" si="1174"/>
        <v>0</v>
      </c>
      <c r="BY67" s="66"/>
      <c r="BZ67" s="44">
        <f t="shared" si="1175"/>
        <v>0</v>
      </c>
      <c r="CA67" s="67"/>
      <c r="CB67" s="45">
        <f t="shared" si="1176"/>
        <v>0</v>
      </c>
      <c r="CC67" s="66"/>
      <c r="CD67" s="44">
        <f t="shared" si="1177"/>
        <v>0</v>
      </c>
      <c r="CE67" s="67"/>
      <c r="CF67" s="45">
        <f t="shared" si="1178"/>
        <v>0</v>
      </c>
      <c r="CG67" s="136"/>
      <c r="CH67" s="91">
        <f t="shared" si="1179"/>
        <v>0</v>
      </c>
      <c r="CI67" s="47">
        <f t="shared" si="1180"/>
        <v>0</v>
      </c>
      <c r="CJ67" s="47">
        <f t="shared" si="1181"/>
        <v>0</v>
      </c>
      <c r="CK67" s="48">
        <f t="shared" si="1214"/>
        <v>0</v>
      </c>
      <c r="CL67" s="49">
        <f t="shared" si="1182"/>
        <v>30</v>
      </c>
      <c r="CM67" s="50">
        <f t="shared" si="1183"/>
        <v>50000</v>
      </c>
      <c r="CO67" s="65"/>
      <c r="CP67" s="65"/>
    </row>
    <row r="68" spans="1:94" ht="26.25" customHeight="1" x14ac:dyDescent="0.25">
      <c r="A68" s="32"/>
      <c r="B68" s="74">
        <v>51</v>
      </c>
      <c r="C68" s="113" t="s">
        <v>58</v>
      </c>
      <c r="D68" s="112">
        <v>30</v>
      </c>
      <c r="E68" s="130">
        <f t="shared" si="1184"/>
        <v>30</v>
      </c>
      <c r="F68" s="44">
        <f>H68/D68</f>
        <v>3666.6666666666665</v>
      </c>
      <c r="G68" s="116"/>
      <c r="H68" s="45">
        <f>H62*0.11</f>
        <v>110000</v>
      </c>
      <c r="I68" s="66"/>
      <c r="J68" s="67">
        <f t="shared" si="1186"/>
        <v>0</v>
      </c>
      <c r="K68" s="67">
        <f>I68*$G$68</f>
        <v>0</v>
      </c>
      <c r="L68" s="45">
        <f t="shared" si="1131"/>
        <v>0</v>
      </c>
      <c r="M68" s="66"/>
      <c r="N68" s="67">
        <f t="shared" ref="N68" si="1278">M68*$F$68</f>
        <v>0</v>
      </c>
      <c r="O68" s="67">
        <f t="shared" ref="O68" si="1279">M68*$G$68</f>
        <v>0</v>
      </c>
      <c r="P68" s="45">
        <f t="shared" si="1134"/>
        <v>0</v>
      </c>
      <c r="Q68" s="66"/>
      <c r="R68" s="67">
        <f t="shared" ref="R68" si="1280">Q68*$F$68</f>
        <v>0</v>
      </c>
      <c r="S68" s="67">
        <f t="shared" ref="S68" si="1281">Q68*$G$68</f>
        <v>0</v>
      </c>
      <c r="T68" s="45">
        <f t="shared" si="1137"/>
        <v>0</v>
      </c>
      <c r="U68" s="66"/>
      <c r="V68" s="67">
        <f t="shared" ref="V68" si="1282">U68*$F$68</f>
        <v>0</v>
      </c>
      <c r="W68" s="67">
        <f t="shared" ref="W68" si="1283">U68*$G$68</f>
        <v>0</v>
      </c>
      <c r="X68" s="45">
        <f t="shared" si="1140"/>
        <v>0</v>
      </c>
      <c r="Y68" s="66"/>
      <c r="Z68" s="67">
        <f t="shared" ref="Z68" si="1284">Y68*$F$68</f>
        <v>0</v>
      </c>
      <c r="AA68" s="67">
        <f t="shared" ref="AA68" si="1285">Y68*$G$68</f>
        <v>0</v>
      </c>
      <c r="AB68" s="45">
        <f t="shared" si="1143"/>
        <v>0</v>
      </c>
      <c r="AC68" s="66"/>
      <c r="AD68" s="67">
        <f t="shared" ref="AD68" si="1286">AC68*$F$68</f>
        <v>0</v>
      </c>
      <c r="AE68" s="67">
        <f t="shared" ref="AE68" si="1287">AC68*$G$68</f>
        <v>0</v>
      </c>
      <c r="AF68" s="45">
        <f t="shared" si="1146"/>
        <v>0</v>
      </c>
      <c r="AG68" s="66"/>
      <c r="AH68" s="67">
        <f t="shared" ref="AH68" si="1288">AG68*$F$68</f>
        <v>0</v>
      </c>
      <c r="AI68" s="67">
        <f t="shared" ref="AI68" si="1289">AG68*$G$68</f>
        <v>0</v>
      </c>
      <c r="AJ68" s="45">
        <f t="shared" si="1149"/>
        <v>0</v>
      </c>
      <c r="AK68" s="66"/>
      <c r="AL68" s="67">
        <f t="shared" ref="AL68" si="1290">AK68*$F$68</f>
        <v>0</v>
      </c>
      <c r="AM68" s="67">
        <f t="shared" ref="AM68" si="1291">AK68*$G$68</f>
        <v>0</v>
      </c>
      <c r="AN68" s="45">
        <f t="shared" si="1152"/>
        <v>0</v>
      </c>
      <c r="AO68" s="66"/>
      <c r="AP68" s="67">
        <f t="shared" ref="AP68" si="1292">AO68*$F$68</f>
        <v>0</v>
      </c>
      <c r="AQ68" s="67">
        <f t="shared" ref="AQ68" si="1293">AO68*$G$68</f>
        <v>0</v>
      </c>
      <c r="AR68" s="45">
        <f t="shared" si="1155"/>
        <v>0</v>
      </c>
      <c r="AS68" s="66"/>
      <c r="AT68" s="67">
        <f t="shared" ref="AT68" si="1294">AS68*$F$68</f>
        <v>0</v>
      </c>
      <c r="AU68" s="67">
        <f t="shared" ref="AU68" si="1295">AS68*$G$68</f>
        <v>0</v>
      </c>
      <c r="AV68" s="45">
        <f t="shared" si="1158"/>
        <v>0</v>
      </c>
      <c r="AW68" s="66"/>
      <c r="AX68" s="67">
        <f t="shared" ref="AX68" si="1296">AW68*$F$68</f>
        <v>0</v>
      </c>
      <c r="AY68" s="67">
        <f t="shared" ref="AY68" si="1297">AW68*$G$68</f>
        <v>0</v>
      </c>
      <c r="AZ68" s="45">
        <f t="shared" si="1161"/>
        <v>0</v>
      </c>
      <c r="BA68" s="66"/>
      <c r="BB68" s="67">
        <f t="shared" ref="BB68" si="1298">BA68*$F$68</f>
        <v>0</v>
      </c>
      <c r="BC68" s="67"/>
      <c r="BD68" s="45">
        <f t="shared" si="1163"/>
        <v>0</v>
      </c>
      <c r="BE68" s="66"/>
      <c r="BF68" s="44">
        <f t="shared" si="1208"/>
        <v>0</v>
      </c>
      <c r="BG68" s="44"/>
      <c r="BH68" s="45">
        <f t="shared" si="1210"/>
        <v>0</v>
      </c>
      <c r="BI68" s="66"/>
      <c r="BJ68" s="44">
        <f t="shared" si="1211"/>
        <v>0</v>
      </c>
      <c r="BK68" s="44"/>
      <c r="BL68" s="45">
        <f t="shared" si="1212"/>
        <v>0</v>
      </c>
      <c r="BM68" s="66"/>
      <c r="BN68" s="67">
        <f t="shared" si="1169"/>
        <v>0</v>
      </c>
      <c r="BO68" s="67"/>
      <c r="BP68" s="45">
        <f t="shared" si="1213"/>
        <v>0</v>
      </c>
      <c r="BQ68" s="66"/>
      <c r="BR68" s="44">
        <f t="shared" si="1171"/>
        <v>0</v>
      </c>
      <c r="BS68" s="67"/>
      <c r="BT68" s="45">
        <f t="shared" si="1172"/>
        <v>0</v>
      </c>
      <c r="BU68" s="66"/>
      <c r="BV68" s="44">
        <f t="shared" si="1173"/>
        <v>0</v>
      </c>
      <c r="BW68" s="67"/>
      <c r="BX68" s="45">
        <f t="shared" si="1174"/>
        <v>0</v>
      </c>
      <c r="BY68" s="66"/>
      <c r="BZ68" s="44">
        <f t="shared" si="1175"/>
        <v>0</v>
      </c>
      <c r="CA68" s="67"/>
      <c r="CB68" s="45">
        <f t="shared" si="1176"/>
        <v>0</v>
      </c>
      <c r="CC68" s="66"/>
      <c r="CD68" s="44">
        <f t="shared" si="1177"/>
        <v>0</v>
      </c>
      <c r="CE68" s="67"/>
      <c r="CF68" s="45">
        <f t="shared" si="1178"/>
        <v>0</v>
      </c>
      <c r="CG68" s="136"/>
      <c r="CH68" s="91">
        <f t="shared" si="1179"/>
        <v>0</v>
      </c>
      <c r="CI68" s="47">
        <f t="shared" si="1180"/>
        <v>0</v>
      </c>
      <c r="CJ68" s="47">
        <f t="shared" si="1181"/>
        <v>0</v>
      </c>
      <c r="CK68" s="48">
        <f t="shared" si="1214"/>
        <v>0</v>
      </c>
      <c r="CL68" s="49">
        <f t="shared" si="1182"/>
        <v>30</v>
      </c>
      <c r="CM68" s="50">
        <f t="shared" si="1183"/>
        <v>110000</v>
      </c>
      <c r="CO68" s="65"/>
      <c r="CP68" s="65"/>
    </row>
    <row r="69" spans="1:94" ht="26.25" customHeight="1" x14ac:dyDescent="0.25">
      <c r="A69" s="32"/>
      <c r="B69" s="74">
        <v>52</v>
      </c>
      <c r="C69" s="113" t="s">
        <v>59</v>
      </c>
      <c r="D69" s="112">
        <v>30</v>
      </c>
      <c r="E69" s="130">
        <f t="shared" si="1184"/>
        <v>30</v>
      </c>
      <c r="F69" s="44">
        <f t="shared" si="1185"/>
        <v>4333.333333333333</v>
      </c>
      <c r="G69" s="116"/>
      <c r="H69" s="45">
        <f>H62*0.13</f>
        <v>130000</v>
      </c>
      <c r="I69" s="66"/>
      <c r="J69" s="67">
        <f t="shared" si="1186"/>
        <v>0</v>
      </c>
      <c r="K69" s="67">
        <f>I69*$G$69</f>
        <v>0</v>
      </c>
      <c r="L69" s="45">
        <f t="shared" si="1131"/>
        <v>0</v>
      </c>
      <c r="M69" s="66"/>
      <c r="N69" s="67">
        <f>M69*$F$69</f>
        <v>0</v>
      </c>
      <c r="O69" s="67">
        <f t="shared" ref="O69" si="1299">M69*$G$69</f>
        <v>0</v>
      </c>
      <c r="P69" s="45">
        <f t="shared" si="1134"/>
        <v>0</v>
      </c>
      <c r="Q69" s="66"/>
      <c r="R69" s="67">
        <f t="shared" ref="R69" si="1300">Q69*$F$69</f>
        <v>0</v>
      </c>
      <c r="S69" s="67">
        <f t="shared" ref="S69" si="1301">Q69*$G$69</f>
        <v>0</v>
      </c>
      <c r="T69" s="45">
        <f t="shared" si="1137"/>
        <v>0</v>
      </c>
      <c r="U69" s="66"/>
      <c r="V69" s="67">
        <f t="shared" ref="V69" si="1302">U69*$F$69</f>
        <v>0</v>
      </c>
      <c r="W69" s="67">
        <f t="shared" ref="W69" si="1303">U69*$G$69</f>
        <v>0</v>
      </c>
      <c r="X69" s="45">
        <f t="shared" si="1140"/>
        <v>0</v>
      </c>
      <c r="Y69" s="66"/>
      <c r="Z69" s="67">
        <f t="shared" ref="Z69" si="1304">Y69*$F$69</f>
        <v>0</v>
      </c>
      <c r="AA69" s="67">
        <f t="shared" ref="AA69" si="1305">Y69*$G$69</f>
        <v>0</v>
      </c>
      <c r="AB69" s="45">
        <f t="shared" si="1143"/>
        <v>0</v>
      </c>
      <c r="AC69" s="66"/>
      <c r="AD69" s="67">
        <f t="shared" ref="AD69" si="1306">AC69*$F$69</f>
        <v>0</v>
      </c>
      <c r="AE69" s="67">
        <f t="shared" ref="AE69" si="1307">AC69*$G$69</f>
        <v>0</v>
      </c>
      <c r="AF69" s="45">
        <f t="shared" si="1146"/>
        <v>0</v>
      </c>
      <c r="AG69" s="66"/>
      <c r="AH69" s="67">
        <f t="shared" ref="AH69" si="1308">AG69*$F$69</f>
        <v>0</v>
      </c>
      <c r="AI69" s="67">
        <f t="shared" ref="AI69" si="1309">AG69*$G$69</f>
        <v>0</v>
      </c>
      <c r="AJ69" s="45">
        <f t="shared" si="1149"/>
        <v>0</v>
      </c>
      <c r="AK69" s="66"/>
      <c r="AL69" s="67">
        <f t="shared" ref="AL69" si="1310">AK69*$F$69</f>
        <v>0</v>
      </c>
      <c r="AM69" s="67">
        <f t="shared" ref="AM69" si="1311">AK69*$G$69</f>
        <v>0</v>
      </c>
      <c r="AN69" s="45">
        <f t="shared" si="1152"/>
        <v>0</v>
      </c>
      <c r="AO69" s="66"/>
      <c r="AP69" s="67">
        <f t="shared" ref="AP69" si="1312">AO69*$F$69</f>
        <v>0</v>
      </c>
      <c r="AQ69" s="67">
        <f t="shared" ref="AQ69" si="1313">AO69*$G$69</f>
        <v>0</v>
      </c>
      <c r="AR69" s="45">
        <f t="shared" si="1155"/>
        <v>0</v>
      </c>
      <c r="AS69" s="66"/>
      <c r="AT69" s="67">
        <f t="shared" ref="AT69" si="1314">AS69*$F$69</f>
        <v>0</v>
      </c>
      <c r="AU69" s="67">
        <f t="shared" ref="AU69" si="1315">AS69*$G$69</f>
        <v>0</v>
      </c>
      <c r="AV69" s="45">
        <f t="shared" si="1158"/>
        <v>0</v>
      </c>
      <c r="AW69" s="66"/>
      <c r="AX69" s="67">
        <f t="shared" ref="AX69" si="1316">AW69*$F$69</f>
        <v>0</v>
      </c>
      <c r="AY69" s="67">
        <f t="shared" ref="AY69" si="1317">AW69*$G$69</f>
        <v>0</v>
      </c>
      <c r="AZ69" s="45">
        <f t="shared" si="1161"/>
        <v>0</v>
      </c>
      <c r="BA69" s="66"/>
      <c r="BB69" s="67">
        <f t="shared" ref="BB69" si="1318">BA69*$F$69</f>
        <v>0</v>
      </c>
      <c r="BC69" s="67"/>
      <c r="BD69" s="45">
        <f t="shared" si="1163"/>
        <v>0</v>
      </c>
      <c r="BE69" s="66"/>
      <c r="BF69" s="44">
        <f t="shared" si="1208"/>
        <v>0</v>
      </c>
      <c r="BG69" s="44"/>
      <c r="BH69" s="45">
        <f t="shared" si="1210"/>
        <v>0</v>
      </c>
      <c r="BI69" s="66"/>
      <c r="BJ69" s="44">
        <f t="shared" si="1211"/>
        <v>0</v>
      </c>
      <c r="BK69" s="44"/>
      <c r="BL69" s="45">
        <f t="shared" si="1212"/>
        <v>0</v>
      </c>
      <c r="BM69" s="66"/>
      <c r="BN69" s="67">
        <f t="shared" si="1169"/>
        <v>0</v>
      </c>
      <c r="BO69" s="67"/>
      <c r="BP69" s="45">
        <f t="shared" si="1213"/>
        <v>0</v>
      </c>
      <c r="BQ69" s="66"/>
      <c r="BR69" s="44">
        <f t="shared" si="1171"/>
        <v>0</v>
      </c>
      <c r="BS69" s="67"/>
      <c r="BT69" s="45">
        <f t="shared" si="1172"/>
        <v>0</v>
      </c>
      <c r="BU69" s="66"/>
      <c r="BV69" s="44">
        <f t="shared" si="1173"/>
        <v>0</v>
      </c>
      <c r="BW69" s="67"/>
      <c r="BX69" s="45">
        <f t="shared" si="1174"/>
        <v>0</v>
      </c>
      <c r="BY69" s="66"/>
      <c r="BZ69" s="44">
        <f t="shared" si="1175"/>
        <v>0</v>
      </c>
      <c r="CA69" s="67"/>
      <c r="CB69" s="45">
        <f t="shared" si="1176"/>
        <v>0</v>
      </c>
      <c r="CC69" s="66"/>
      <c r="CD69" s="44">
        <f t="shared" si="1177"/>
        <v>0</v>
      </c>
      <c r="CE69" s="67"/>
      <c r="CF69" s="45">
        <f t="shared" si="1178"/>
        <v>0</v>
      </c>
      <c r="CG69" s="136"/>
      <c r="CH69" s="91">
        <f t="shared" si="1179"/>
        <v>0</v>
      </c>
      <c r="CI69" s="47">
        <f t="shared" si="1180"/>
        <v>0</v>
      </c>
      <c r="CJ69" s="47">
        <f t="shared" si="1181"/>
        <v>0</v>
      </c>
      <c r="CK69" s="48">
        <f t="shared" si="1214"/>
        <v>0</v>
      </c>
      <c r="CL69" s="49">
        <f t="shared" si="1182"/>
        <v>30</v>
      </c>
      <c r="CM69" s="50">
        <f t="shared" si="1183"/>
        <v>130000</v>
      </c>
      <c r="CO69" s="65"/>
      <c r="CP69" s="65"/>
    </row>
    <row r="70" spans="1:94" ht="26.25" customHeight="1" x14ac:dyDescent="0.25">
      <c r="A70" s="32"/>
      <c r="B70" s="74">
        <v>53</v>
      </c>
      <c r="C70" s="113" t="s">
        <v>40</v>
      </c>
      <c r="D70" s="112">
        <v>30</v>
      </c>
      <c r="E70" s="130">
        <f t="shared" si="1184"/>
        <v>30</v>
      </c>
      <c r="F70" s="44">
        <f t="shared" si="1185"/>
        <v>3000</v>
      </c>
      <c r="G70" s="116"/>
      <c r="H70" s="45">
        <f>H62*0.09</f>
        <v>90000</v>
      </c>
      <c r="I70" s="66"/>
      <c r="J70" s="67">
        <f t="shared" si="1186"/>
        <v>0</v>
      </c>
      <c r="K70" s="67">
        <f>I70*$G$70</f>
        <v>0</v>
      </c>
      <c r="L70" s="45">
        <f t="shared" si="1131"/>
        <v>0</v>
      </c>
      <c r="M70" s="66"/>
      <c r="N70" s="67">
        <f t="shared" ref="N70" si="1319">M70*$F$70</f>
        <v>0</v>
      </c>
      <c r="O70" s="67">
        <f t="shared" ref="O70" si="1320">M70*$G$70</f>
        <v>0</v>
      </c>
      <c r="P70" s="45">
        <f t="shared" si="1134"/>
        <v>0</v>
      </c>
      <c r="Q70" s="66"/>
      <c r="R70" s="67">
        <f t="shared" ref="R70" si="1321">Q70*$F$70</f>
        <v>0</v>
      </c>
      <c r="S70" s="67">
        <f t="shared" ref="S70" si="1322">Q70*$G$70</f>
        <v>0</v>
      </c>
      <c r="T70" s="45">
        <f t="shared" si="1137"/>
        <v>0</v>
      </c>
      <c r="U70" s="66"/>
      <c r="V70" s="67">
        <f t="shared" ref="V70" si="1323">U70*$F$70</f>
        <v>0</v>
      </c>
      <c r="W70" s="67">
        <f t="shared" ref="W70" si="1324">U70*$G$70</f>
        <v>0</v>
      </c>
      <c r="X70" s="45">
        <f t="shared" si="1140"/>
        <v>0</v>
      </c>
      <c r="Y70" s="66"/>
      <c r="Z70" s="67">
        <f t="shared" ref="Z70" si="1325">Y70*$F$70</f>
        <v>0</v>
      </c>
      <c r="AA70" s="67">
        <f t="shared" ref="AA70" si="1326">Y70*$G$70</f>
        <v>0</v>
      </c>
      <c r="AB70" s="45">
        <f t="shared" si="1143"/>
        <v>0</v>
      </c>
      <c r="AC70" s="66"/>
      <c r="AD70" s="67">
        <f t="shared" ref="AD70" si="1327">AC70*$F$70</f>
        <v>0</v>
      </c>
      <c r="AE70" s="67">
        <f t="shared" ref="AE70" si="1328">AC70*$G$70</f>
        <v>0</v>
      </c>
      <c r="AF70" s="45">
        <f t="shared" si="1146"/>
        <v>0</v>
      </c>
      <c r="AG70" s="66"/>
      <c r="AH70" s="67">
        <f t="shared" ref="AH70" si="1329">AG70*$F$70</f>
        <v>0</v>
      </c>
      <c r="AI70" s="67">
        <f t="shared" ref="AI70" si="1330">AG70*$G$70</f>
        <v>0</v>
      </c>
      <c r="AJ70" s="45">
        <f t="shared" si="1149"/>
        <v>0</v>
      </c>
      <c r="AK70" s="66"/>
      <c r="AL70" s="67">
        <f t="shared" ref="AL70" si="1331">AK70*$F$70</f>
        <v>0</v>
      </c>
      <c r="AM70" s="67">
        <f t="shared" ref="AM70" si="1332">AK70*$G$70</f>
        <v>0</v>
      </c>
      <c r="AN70" s="45">
        <f t="shared" si="1152"/>
        <v>0</v>
      </c>
      <c r="AO70" s="66"/>
      <c r="AP70" s="67">
        <f t="shared" ref="AP70" si="1333">AO70*$F$70</f>
        <v>0</v>
      </c>
      <c r="AQ70" s="67">
        <f t="shared" ref="AQ70" si="1334">AO70*$G$70</f>
        <v>0</v>
      </c>
      <c r="AR70" s="45">
        <f t="shared" si="1155"/>
        <v>0</v>
      </c>
      <c r="AS70" s="66"/>
      <c r="AT70" s="67">
        <f t="shared" ref="AT70" si="1335">AS70*$F$70</f>
        <v>0</v>
      </c>
      <c r="AU70" s="67">
        <f t="shared" ref="AU70" si="1336">AS70*$G$70</f>
        <v>0</v>
      </c>
      <c r="AV70" s="45">
        <f t="shared" si="1158"/>
        <v>0</v>
      </c>
      <c r="AW70" s="66"/>
      <c r="AX70" s="67">
        <f t="shared" ref="AX70" si="1337">AW70*$F$70</f>
        <v>0</v>
      </c>
      <c r="AY70" s="67">
        <f t="shared" ref="AY70" si="1338">AW70*$G$70</f>
        <v>0</v>
      </c>
      <c r="AZ70" s="45">
        <f t="shared" si="1161"/>
        <v>0</v>
      </c>
      <c r="BA70" s="66"/>
      <c r="BB70" s="67">
        <f t="shared" ref="BB70" si="1339">BA70*$F$70</f>
        <v>0</v>
      </c>
      <c r="BC70" s="67"/>
      <c r="BD70" s="45">
        <f t="shared" si="1163"/>
        <v>0</v>
      </c>
      <c r="BE70" s="66"/>
      <c r="BF70" s="44">
        <f t="shared" si="1208"/>
        <v>0</v>
      </c>
      <c r="BG70" s="44"/>
      <c r="BH70" s="45">
        <f t="shared" si="1210"/>
        <v>0</v>
      </c>
      <c r="BI70" s="66"/>
      <c r="BJ70" s="44">
        <f t="shared" si="1211"/>
        <v>0</v>
      </c>
      <c r="BK70" s="44"/>
      <c r="BL70" s="45">
        <f t="shared" si="1212"/>
        <v>0</v>
      </c>
      <c r="BM70" s="66"/>
      <c r="BN70" s="67">
        <f t="shared" si="1169"/>
        <v>0</v>
      </c>
      <c r="BO70" s="67"/>
      <c r="BP70" s="45">
        <f t="shared" si="1213"/>
        <v>0</v>
      </c>
      <c r="BQ70" s="66"/>
      <c r="BR70" s="44">
        <f t="shared" si="1171"/>
        <v>0</v>
      </c>
      <c r="BS70" s="67"/>
      <c r="BT70" s="45">
        <f t="shared" si="1172"/>
        <v>0</v>
      </c>
      <c r="BU70" s="66"/>
      <c r="BV70" s="44">
        <f t="shared" si="1173"/>
        <v>0</v>
      </c>
      <c r="BW70" s="67"/>
      <c r="BX70" s="45">
        <f t="shared" si="1174"/>
        <v>0</v>
      </c>
      <c r="BY70" s="66"/>
      <c r="BZ70" s="44">
        <f t="shared" si="1175"/>
        <v>0</v>
      </c>
      <c r="CA70" s="67"/>
      <c r="CB70" s="45">
        <f t="shared" si="1176"/>
        <v>0</v>
      </c>
      <c r="CC70" s="66"/>
      <c r="CD70" s="44">
        <f t="shared" si="1177"/>
        <v>0</v>
      </c>
      <c r="CE70" s="67"/>
      <c r="CF70" s="45">
        <f t="shared" si="1178"/>
        <v>0</v>
      </c>
      <c r="CG70" s="136"/>
      <c r="CH70" s="91">
        <f t="shared" si="1179"/>
        <v>0</v>
      </c>
      <c r="CI70" s="47">
        <f t="shared" si="1180"/>
        <v>0</v>
      </c>
      <c r="CJ70" s="47">
        <f t="shared" si="1181"/>
        <v>0</v>
      </c>
      <c r="CK70" s="48">
        <f t="shared" si="1214"/>
        <v>0</v>
      </c>
      <c r="CL70" s="49">
        <f t="shared" si="1182"/>
        <v>30</v>
      </c>
      <c r="CM70" s="50">
        <f t="shared" si="1183"/>
        <v>90000</v>
      </c>
      <c r="CO70" s="65"/>
      <c r="CP70" s="65"/>
    </row>
    <row r="71" spans="1:94" ht="26.25" customHeight="1" x14ac:dyDescent="0.25">
      <c r="A71" s="32"/>
      <c r="B71" s="74">
        <v>54</v>
      </c>
      <c r="C71" s="113" t="s">
        <v>91</v>
      </c>
      <c r="D71" s="112">
        <v>30</v>
      </c>
      <c r="E71" s="130">
        <f t="shared" ref="E71" si="1340">D71-I71-M71-Q71-U71-Y71-AC71-AK71-AO71-AS71-AW71-BA71-BE71-BI71</f>
        <v>30</v>
      </c>
      <c r="F71" s="44">
        <f t="shared" ref="F71" si="1341">H71/D71</f>
        <v>3333.3333333333335</v>
      </c>
      <c r="G71" s="116"/>
      <c r="H71" s="45">
        <f>H62*0.1</f>
        <v>100000</v>
      </c>
      <c r="I71" s="66"/>
      <c r="J71" s="67">
        <f t="shared" ref="J71" si="1342">I71*F71</f>
        <v>0</v>
      </c>
      <c r="K71" s="67">
        <f>I71*$G$70</f>
        <v>0</v>
      </c>
      <c r="L71" s="45">
        <f t="shared" ref="L71" si="1343">SUM(J71:K71)</f>
        <v>0</v>
      </c>
      <c r="M71" s="66"/>
      <c r="N71" s="67">
        <f t="shared" ref="N71" si="1344">M71*$F$70</f>
        <v>0</v>
      </c>
      <c r="O71" s="67">
        <f t="shared" ref="O71" si="1345">M71*$G$70</f>
        <v>0</v>
      </c>
      <c r="P71" s="45">
        <f t="shared" ref="P71" si="1346">SUM(N71:O71)</f>
        <v>0</v>
      </c>
      <c r="Q71" s="66"/>
      <c r="R71" s="67">
        <f t="shared" ref="R71" si="1347">Q71*$F$70</f>
        <v>0</v>
      </c>
      <c r="S71" s="67">
        <f t="shared" ref="S71" si="1348">Q71*$G$70</f>
        <v>0</v>
      </c>
      <c r="T71" s="45">
        <f t="shared" ref="T71" si="1349">SUM(R71:S71)</f>
        <v>0</v>
      </c>
      <c r="U71" s="66"/>
      <c r="V71" s="67">
        <f t="shared" ref="V71" si="1350">U71*$F$70</f>
        <v>0</v>
      </c>
      <c r="W71" s="67">
        <f t="shared" ref="W71" si="1351">U71*$G$70</f>
        <v>0</v>
      </c>
      <c r="X71" s="45">
        <f t="shared" ref="X71" si="1352">SUM(V71:W71)</f>
        <v>0</v>
      </c>
      <c r="Y71" s="66"/>
      <c r="Z71" s="67">
        <f t="shared" ref="Z71" si="1353">Y71*$F$70</f>
        <v>0</v>
      </c>
      <c r="AA71" s="67">
        <f t="shared" ref="AA71" si="1354">Y71*$G$70</f>
        <v>0</v>
      </c>
      <c r="AB71" s="45">
        <f t="shared" ref="AB71" si="1355">SUM(Z71:AA71)</f>
        <v>0</v>
      </c>
      <c r="AC71" s="66"/>
      <c r="AD71" s="67">
        <f t="shared" ref="AD71" si="1356">AC71*$F$70</f>
        <v>0</v>
      </c>
      <c r="AE71" s="67">
        <f t="shared" ref="AE71" si="1357">AC71*$G$70</f>
        <v>0</v>
      </c>
      <c r="AF71" s="45">
        <f t="shared" ref="AF71" si="1358">SUM(AD71:AE71)</f>
        <v>0</v>
      </c>
      <c r="AG71" s="66"/>
      <c r="AH71" s="67">
        <f t="shared" ref="AH71" si="1359">AG71*$F$70</f>
        <v>0</v>
      </c>
      <c r="AI71" s="67">
        <f t="shared" ref="AI71" si="1360">AG71*$G$70</f>
        <v>0</v>
      </c>
      <c r="AJ71" s="45">
        <f t="shared" ref="AJ71" si="1361">SUM(AH71:AI71)</f>
        <v>0</v>
      </c>
      <c r="AK71" s="66"/>
      <c r="AL71" s="67">
        <f t="shared" ref="AL71" si="1362">AK71*$F$70</f>
        <v>0</v>
      </c>
      <c r="AM71" s="67">
        <f t="shared" ref="AM71" si="1363">AK71*$G$70</f>
        <v>0</v>
      </c>
      <c r="AN71" s="45">
        <f t="shared" ref="AN71" si="1364">SUM(AL71:AM71)</f>
        <v>0</v>
      </c>
      <c r="AO71" s="66"/>
      <c r="AP71" s="67">
        <f t="shared" ref="AP71" si="1365">AO71*$F$70</f>
        <v>0</v>
      </c>
      <c r="AQ71" s="67">
        <f t="shared" ref="AQ71" si="1366">AO71*$G$70</f>
        <v>0</v>
      </c>
      <c r="AR71" s="45">
        <f t="shared" ref="AR71" si="1367">SUM(AP71:AQ71)</f>
        <v>0</v>
      </c>
      <c r="AS71" s="66"/>
      <c r="AT71" s="67">
        <f t="shared" ref="AT71" si="1368">AS71*$F$70</f>
        <v>0</v>
      </c>
      <c r="AU71" s="67">
        <f t="shared" ref="AU71" si="1369">AS71*$G$70</f>
        <v>0</v>
      </c>
      <c r="AV71" s="45">
        <f t="shared" ref="AV71" si="1370">SUM(AT71:AU71)</f>
        <v>0</v>
      </c>
      <c r="AW71" s="66"/>
      <c r="AX71" s="67">
        <f t="shared" ref="AX71" si="1371">AW71*$F$70</f>
        <v>0</v>
      </c>
      <c r="AY71" s="67">
        <f t="shared" ref="AY71" si="1372">AW71*$G$70</f>
        <v>0</v>
      </c>
      <c r="AZ71" s="45">
        <f t="shared" ref="AZ71" si="1373">SUM(AX71:AY71)</f>
        <v>0</v>
      </c>
      <c r="BA71" s="66"/>
      <c r="BB71" s="67">
        <f t="shared" ref="BB71" si="1374">BA71*$F$70</f>
        <v>0</v>
      </c>
      <c r="BC71" s="67"/>
      <c r="BD71" s="45">
        <f t="shared" ref="BD71" si="1375">SUM(BB71:BC71)</f>
        <v>0</v>
      </c>
      <c r="BE71" s="66"/>
      <c r="BF71" s="44">
        <f t="shared" ref="BF71" si="1376">F71*BE71</f>
        <v>0</v>
      </c>
      <c r="BG71" s="44"/>
      <c r="BH71" s="45">
        <f t="shared" ref="BH71" si="1377">BG71+BF71</f>
        <v>0</v>
      </c>
      <c r="BI71" s="66"/>
      <c r="BJ71" s="44">
        <f t="shared" ref="BJ71" si="1378">BI71*F71</f>
        <v>0</v>
      </c>
      <c r="BK71" s="44"/>
      <c r="BL71" s="45">
        <f t="shared" ref="BL71" si="1379">BK71+BJ71</f>
        <v>0</v>
      </c>
      <c r="BM71" s="66"/>
      <c r="BN71" s="67">
        <f t="shared" ref="BN71" si="1380">BM71*F71</f>
        <v>0</v>
      </c>
      <c r="BO71" s="67"/>
      <c r="BP71" s="45">
        <f t="shared" ref="BP71" si="1381">BO71+BN71</f>
        <v>0</v>
      </c>
      <c r="BQ71" s="66"/>
      <c r="BR71" s="44">
        <f t="shared" ref="BR71" si="1382">BQ71*F71</f>
        <v>0</v>
      </c>
      <c r="BS71" s="67"/>
      <c r="BT71" s="45">
        <f t="shared" ref="BT71" si="1383">BS71+BR71</f>
        <v>0</v>
      </c>
      <c r="BU71" s="66"/>
      <c r="BV71" s="44">
        <f t="shared" ref="BV71" si="1384">F71*BU71</f>
        <v>0</v>
      </c>
      <c r="BW71" s="67"/>
      <c r="BX71" s="45">
        <f t="shared" ref="BX71" si="1385">BW71+BV71</f>
        <v>0</v>
      </c>
      <c r="BY71" s="66"/>
      <c r="BZ71" s="44">
        <f t="shared" ref="BZ71" si="1386">BY71*J71</f>
        <v>0</v>
      </c>
      <c r="CA71" s="67"/>
      <c r="CB71" s="45">
        <f t="shared" ref="CB71" si="1387">CA71+BZ71</f>
        <v>0</v>
      </c>
      <c r="CC71" s="66"/>
      <c r="CD71" s="44">
        <f t="shared" ref="CD71" si="1388">CC71*N71</f>
        <v>0</v>
      </c>
      <c r="CE71" s="67"/>
      <c r="CF71" s="45">
        <f t="shared" ref="CF71" si="1389">CE71+CD71</f>
        <v>0</v>
      </c>
      <c r="CG71" s="136"/>
      <c r="CH71" s="91">
        <f t="shared" ref="CH71" si="1390">I71+M71+Q71+U71+Y71+AC71+AG71+AK71+AO71+BA71+BE71+BI71+BM71+BQ71+BU71+BY71+CC71</f>
        <v>0</v>
      </c>
      <c r="CI71" s="47">
        <f t="shared" ref="CI71" si="1391">CH71*F71</f>
        <v>0</v>
      </c>
      <c r="CJ71" s="47">
        <f t="shared" ref="CJ71" si="1392">CH71*G71</f>
        <v>0</v>
      </c>
      <c r="CK71" s="48">
        <f t="shared" ref="CK71" si="1393">SUM(CI71:CJ71)</f>
        <v>0</v>
      </c>
      <c r="CL71" s="49">
        <f t="shared" ref="CL71" si="1394">D71-CH71</f>
        <v>30</v>
      </c>
      <c r="CM71" s="50">
        <f t="shared" ref="CM71" si="1395">H71-CK71</f>
        <v>100000</v>
      </c>
      <c r="CO71" s="65"/>
      <c r="CP71" s="65"/>
    </row>
    <row r="72" spans="1:94" ht="26.25" customHeight="1" x14ac:dyDescent="0.25">
      <c r="A72" s="32"/>
      <c r="B72" s="74">
        <v>55</v>
      </c>
      <c r="C72" s="113" t="s">
        <v>34</v>
      </c>
      <c r="D72" s="112">
        <v>30</v>
      </c>
      <c r="E72" s="130">
        <f t="shared" si="1184"/>
        <v>30</v>
      </c>
      <c r="F72" s="44">
        <f t="shared" si="1185"/>
        <v>4333.333333333333</v>
      </c>
      <c r="G72" s="116"/>
      <c r="H72" s="45">
        <f>H62*0.13</f>
        <v>130000</v>
      </c>
      <c r="I72" s="66"/>
      <c r="J72" s="67">
        <f t="shared" si="1186"/>
        <v>0</v>
      </c>
      <c r="K72" s="67">
        <f>I72*$G$72</f>
        <v>0</v>
      </c>
      <c r="L72" s="45">
        <f t="shared" si="1131"/>
        <v>0</v>
      </c>
      <c r="M72" s="66"/>
      <c r="N72" s="67">
        <f t="shared" ref="N72" si="1396">M72*$F$72</f>
        <v>0</v>
      </c>
      <c r="O72" s="67">
        <f t="shared" ref="O72" si="1397">M72*$G$72</f>
        <v>0</v>
      </c>
      <c r="P72" s="45">
        <f t="shared" si="1134"/>
        <v>0</v>
      </c>
      <c r="Q72" s="66"/>
      <c r="R72" s="67">
        <f t="shared" ref="R72" si="1398">Q72*$F$72</f>
        <v>0</v>
      </c>
      <c r="S72" s="67">
        <f t="shared" ref="S72" si="1399">Q72*$G$72</f>
        <v>0</v>
      </c>
      <c r="T72" s="45">
        <f t="shared" si="1137"/>
        <v>0</v>
      </c>
      <c r="U72" s="66"/>
      <c r="V72" s="67">
        <f t="shared" ref="V72" si="1400">U72*$F$72</f>
        <v>0</v>
      </c>
      <c r="W72" s="67">
        <f t="shared" ref="W72" si="1401">U72*$G$72</f>
        <v>0</v>
      </c>
      <c r="X72" s="45">
        <f t="shared" si="1140"/>
        <v>0</v>
      </c>
      <c r="Y72" s="66"/>
      <c r="Z72" s="67">
        <f t="shared" ref="Z72" si="1402">Y72*$F$72</f>
        <v>0</v>
      </c>
      <c r="AA72" s="67">
        <f t="shared" ref="AA72" si="1403">Y72*$G$72</f>
        <v>0</v>
      </c>
      <c r="AB72" s="45">
        <f t="shared" si="1143"/>
        <v>0</v>
      </c>
      <c r="AC72" s="66"/>
      <c r="AD72" s="67">
        <f t="shared" ref="AD72" si="1404">AC72*$F$72</f>
        <v>0</v>
      </c>
      <c r="AE72" s="67">
        <f t="shared" ref="AE72" si="1405">AC72*$G$72</f>
        <v>0</v>
      </c>
      <c r="AF72" s="45">
        <f t="shared" si="1146"/>
        <v>0</v>
      </c>
      <c r="AG72" s="66"/>
      <c r="AH72" s="67">
        <f t="shared" ref="AH72" si="1406">AG72*$F$72</f>
        <v>0</v>
      </c>
      <c r="AI72" s="67">
        <f t="shared" ref="AI72" si="1407">AG72*$G$72</f>
        <v>0</v>
      </c>
      <c r="AJ72" s="45">
        <f t="shared" si="1149"/>
        <v>0</v>
      </c>
      <c r="AK72" s="66"/>
      <c r="AL72" s="67">
        <f t="shared" ref="AL72" si="1408">AK72*$F$72</f>
        <v>0</v>
      </c>
      <c r="AM72" s="67">
        <f t="shared" ref="AM72" si="1409">AK72*$G$72</f>
        <v>0</v>
      </c>
      <c r="AN72" s="45">
        <f t="shared" si="1152"/>
        <v>0</v>
      </c>
      <c r="AO72" s="66"/>
      <c r="AP72" s="67">
        <f t="shared" ref="AP72" si="1410">AO72*$F$72</f>
        <v>0</v>
      </c>
      <c r="AQ72" s="67">
        <f t="shared" ref="AQ72" si="1411">AO72*$G$72</f>
        <v>0</v>
      </c>
      <c r="AR72" s="45">
        <f t="shared" si="1155"/>
        <v>0</v>
      </c>
      <c r="AS72" s="66"/>
      <c r="AT72" s="67">
        <f t="shared" ref="AT72" si="1412">AS72*$F$72</f>
        <v>0</v>
      </c>
      <c r="AU72" s="67">
        <f t="shared" ref="AU72" si="1413">AS72*$G$72</f>
        <v>0</v>
      </c>
      <c r="AV72" s="45">
        <f t="shared" si="1158"/>
        <v>0</v>
      </c>
      <c r="AW72" s="66"/>
      <c r="AX72" s="67">
        <f t="shared" ref="AX72" si="1414">AW72*$F$72</f>
        <v>0</v>
      </c>
      <c r="AY72" s="67">
        <f t="shared" ref="AY72" si="1415">AW72*$G$72</f>
        <v>0</v>
      </c>
      <c r="AZ72" s="45">
        <f t="shared" si="1161"/>
        <v>0</v>
      </c>
      <c r="BA72" s="66"/>
      <c r="BB72" s="67">
        <f t="shared" ref="BB72" si="1416">BA72*$F$72</f>
        <v>0</v>
      </c>
      <c r="BC72" s="67"/>
      <c r="BD72" s="45">
        <f t="shared" si="1163"/>
        <v>0</v>
      </c>
      <c r="BE72" s="66"/>
      <c r="BF72" s="44">
        <f t="shared" si="1208"/>
        <v>0</v>
      </c>
      <c r="BG72" s="44"/>
      <c r="BH72" s="45">
        <f t="shared" si="1210"/>
        <v>0</v>
      </c>
      <c r="BI72" s="66"/>
      <c r="BJ72" s="44">
        <f t="shared" si="1211"/>
        <v>0</v>
      </c>
      <c r="BK72" s="44"/>
      <c r="BL72" s="45">
        <f t="shared" si="1212"/>
        <v>0</v>
      </c>
      <c r="BM72" s="66"/>
      <c r="BN72" s="67">
        <f t="shared" si="1169"/>
        <v>0</v>
      </c>
      <c r="BO72" s="67"/>
      <c r="BP72" s="45">
        <f t="shared" si="1213"/>
        <v>0</v>
      </c>
      <c r="BQ72" s="66"/>
      <c r="BR72" s="44">
        <f t="shared" si="1171"/>
        <v>0</v>
      </c>
      <c r="BS72" s="67"/>
      <c r="BT72" s="45">
        <f t="shared" si="1172"/>
        <v>0</v>
      </c>
      <c r="BU72" s="66"/>
      <c r="BV72" s="44">
        <f t="shared" si="1173"/>
        <v>0</v>
      </c>
      <c r="BW72" s="67"/>
      <c r="BX72" s="45">
        <f t="shared" si="1174"/>
        <v>0</v>
      </c>
      <c r="BY72" s="66"/>
      <c r="BZ72" s="44">
        <f t="shared" si="1175"/>
        <v>0</v>
      </c>
      <c r="CA72" s="67"/>
      <c r="CB72" s="45">
        <f t="shared" si="1176"/>
        <v>0</v>
      </c>
      <c r="CC72" s="66"/>
      <c r="CD72" s="44">
        <f t="shared" si="1177"/>
        <v>0</v>
      </c>
      <c r="CE72" s="67"/>
      <c r="CF72" s="45">
        <f t="shared" si="1178"/>
        <v>0</v>
      </c>
      <c r="CG72" s="136"/>
      <c r="CH72" s="91">
        <f t="shared" si="1179"/>
        <v>0</v>
      </c>
      <c r="CI72" s="47">
        <f t="shared" si="1180"/>
        <v>0</v>
      </c>
      <c r="CJ72" s="47">
        <f t="shared" si="1181"/>
        <v>0</v>
      </c>
      <c r="CK72" s="48">
        <f t="shared" si="1214"/>
        <v>0</v>
      </c>
      <c r="CL72" s="49">
        <f t="shared" si="1182"/>
        <v>30</v>
      </c>
      <c r="CM72" s="50">
        <f t="shared" si="1183"/>
        <v>130000</v>
      </c>
      <c r="CO72" s="65"/>
      <c r="CP72" s="65"/>
    </row>
    <row r="73" spans="1:94" ht="26.25" customHeight="1" x14ac:dyDescent="0.25">
      <c r="A73" s="32"/>
      <c r="B73" s="74">
        <v>56</v>
      </c>
      <c r="C73" s="113" t="s">
        <v>35</v>
      </c>
      <c r="D73" s="112">
        <v>30</v>
      </c>
      <c r="E73" s="130">
        <f t="shared" si="1184"/>
        <v>30</v>
      </c>
      <c r="F73" s="44">
        <f t="shared" si="1185"/>
        <v>2000</v>
      </c>
      <c r="G73" s="116"/>
      <c r="H73" s="45">
        <f>H62*0.06</f>
        <v>60000</v>
      </c>
      <c r="I73" s="66"/>
      <c r="J73" s="67">
        <f t="shared" si="1186"/>
        <v>0</v>
      </c>
      <c r="K73" s="67">
        <f>I73*$G$73</f>
        <v>0</v>
      </c>
      <c r="L73" s="45">
        <f t="shared" si="1131"/>
        <v>0</v>
      </c>
      <c r="M73" s="66"/>
      <c r="N73" s="67">
        <f t="shared" ref="N73" si="1417">M73*$F$73</f>
        <v>0</v>
      </c>
      <c r="O73" s="67">
        <f t="shared" ref="O73" si="1418">M73*$G$73</f>
        <v>0</v>
      </c>
      <c r="P73" s="45">
        <f t="shared" si="1134"/>
        <v>0</v>
      </c>
      <c r="Q73" s="66"/>
      <c r="R73" s="67">
        <f t="shared" ref="R73" si="1419">Q73*$F$73</f>
        <v>0</v>
      </c>
      <c r="S73" s="67">
        <f t="shared" ref="S73" si="1420">Q73*$G$73</f>
        <v>0</v>
      </c>
      <c r="T73" s="45">
        <f t="shared" si="1137"/>
        <v>0</v>
      </c>
      <c r="U73" s="66"/>
      <c r="V73" s="67">
        <f t="shared" ref="V73" si="1421">U73*$F$73</f>
        <v>0</v>
      </c>
      <c r="W73" s="67">
        <f t="shared" ref="W73" si="1422">U73*$G$73</f>
        <v>0</v>
      </c>
      <c r="X73" s="45">
        <f t="shared" si="1140"/>
        <v>0</v>
      </c>
      <c r="Y73" s="66"/>
      <c r="Z73" s="67">
        <f t="shared" ref="Z73" si="1423">Y73*$F$73</f>
        <v>0</v>
      </c>
      <c r="AA73" s="67">
        <f t="shared" ref="AA73" si="1424">Y73*$G$73</f>
        <v>0</v>
      </c>
      <c r="AB73" s="45">
        <f t="shared" si="1143"/>
        <v>0</v>
      </c>
      <c r="AC73" s="66"/>
      <c r="AD73" s="67">
        <f t="shared" ref="AD73" si="1425">AC73*$F$73</f>
        <v>0</v>
      </c>
      <c r="AE73" s="67">
        <f t="shared" ref="AE73" si="1426">AC73*$G$73</f>
        <v>0</v>
      </c>
      <c r="AF73" s="45">
        <f t="shared" si="1146"/>
        <v>0</v>
      </c>
      <c r="AG73" s="66"/>
      <c r="AH73" s="67">
        <f t="shared" ref="AH73" si="1427">AG73*$F$73</f>
        <v>0</v>
      </c>
      <c r="AI73" s="67">
        <f t="shared" ref="AI73" si="1428">AG73*$G$73</f>
        <v>0</v>
      </c>
      <c r="AJ73" s="45">
        <f t="shared" si="1149"/>
        <v>0</v>
      </c>
      <c r="AK73" s="66"/>
      <c r="AL73" s="67">
        <f t="shared" ref="AL73" si="1429">AK73*$F$73</f>
        <v>0</v>
      </c>
      <c r="AM73" s="67">
        <f t="shared" ref="AM73" si="1430">AK73*$G$73</f>
        <v>0</v>
      </c>
      <c r="AN73" s="45">
        <f t="shared" si="1152"/>
        <v>0</v>
      </c>
      <c r="AO73" s="66"/>
      <c r="AP73" s="67">
        <f t="shared" ref="AP73" si="1431">AO73*$F$73</f>
        <v>0</v>
      </c>
      <c r="AQ73" s="67">
        <f t="shared" ref="AQ73" si="1432">AO73*$G$73</f>
        <v>0</v>
      </c>
      <c r="AR73" s="45">
        <f t="shared" si="1155"/>
        <v>0</v>
      </c>
      <c r="AS73" s="66"/>
      <c r="AT73" s="67">
        <f t="shared" ref="AT73" si="1433">AS73*$F$73</f>
        <v>0</v>
      </c>
      <c r="AU73" s="67">
        <f t="shared" ref="AU73" si="1434">AS73*$G$73</f>
        <v>0</v>
      </c>
      <c r="AV73" s="45">
        <f t="shared" si="1158"/>
        <v>0</v>
      </c>
      <c r="AW73" s="66"/>
      <c r="AX73" s="67">
        <f t="shared" ref="AX73" si="1435">AW73*$F$73</f>
        <v>0</v>
      </c>
      <c r="AY73" s="67">
        <f t="shared" ref="AY73" si="1436">AW73*$G$73</f>
        <v>0</v>
      </c>
      <c r="AZ73" s="45">
        <f t="shared" si="1161"/>
        <v>0</v>
      </c>
      <c r="BA73" s="66"/>
      <c r="BB73" s="67">
        <f t="shared" ref="BB73" si="1437">BA73*$F$73</f>
        <v>0</v>
      </c>
      <c r="BC73" s="67"/>
      <c r="BD73" s="45">
        <f t="shared" si="1163"/>
        <v>0</v>
      </c>
      <c r="BE73" s="66"/>
      <c r="BF73" s="44">
        <f t="shared" si="1208"/>
        <v>0</v>
      </c>
      <c r="BG73" s="44"/>
      <c r="BH73" s="45">
        <f t="shared" si="1210"/>
        <v>0</v>
      </c>
      <c r="BI73" s="66"/>
      <c r="BJ73" s="44">
        <f t="shared" si="1211"/>
        <v>0</v>
      </c>
      <c r="BK73" s="44"/>
      <c r="BL73" s="45">
        <f t="shared" si="1212"/>
        <v>0</v>
      </c>
      <c r="BM73" s="66"/>
      <c r="BN73" s="67">
        <f t="shared" si="1169"/>
        <v>0</v>
      </c>
      <c r="BO73" s="67"/>
      <c r="BP73" s="45">
        <f t="shared" si="1213"/>
        <v>0</v>
      </c>
      <c r="BQ73" s="66"/>
      <c r="BR73" s="44">
        <f t="shared" si="1171"/>
        <v>0</v>
      </c>
      <c r="BS73" s="67"/>
      <c r="BT73" s="45">
        <f t="shared" si="1172"/>
        <v>0</v>
      </c>
      <c r="BU73" s="66"/>
      <c r="BV73" s="44">
        <f t="shared" si="1173"/>
        <v>0</v>
      </c>
      <c r="BW73" s="67"/>
      <c r="BX73" s="45">
        <f t="shared" si="1174"/>
        <v>0</v>
      </c>
      <c r="BY73" s="66"/>
      <c r="BZ73" s="44">
        <f t="shared" si="1175"/>
        <v>0</v>
      </c>
      <c r="CA73" s="116"/>
      <c r="CB73" s="45">
        <f>CA73+BZ73*BY73</f>
        <v>0</v>
      </c>
      <c r="CC73" s="66"/>
      <c r="CD73" s="44">
        <f t="shared" si="1177"/>
        <v>0</v>
      </c>
      <c r="CE73" s="116"/>
      <c r="CF73" s="45">
        <f>CE73+CD73*CC73</f>
        <v>0</v>
      </c>
      <c r="CG73" s="136"/>
      <c r="CH73" s="91">
        <f t="shared" si="1179"/>
        <v>0</v>
      </c>
      <c r="CI73" s="47">
        <f t="shared" si="1180"/>
        <v>0</v>
      </c>
      <c r="CJ73" s="47">
        <f t="shared" si="1181"/>
        <v>0</v>
      </c>
      <c r="CK73" s="48">
        <f t="shared" si="1214"/>
        <v>0</v>
      </c>
      <c r="CL73" s="49">
        <f t="shared" si="1182"/>
        <v>30</v>
      </c>
      <c r="CM73" s="50">
        <f t="shared" si="1183"/>
        <v>60000</v>
      </c>
      <c r="CO73" s="65"/>
      <c r="CP73" s="65"/>
    </row>
    <row r="74" spans="1:94" ht="26.25" customHeight="1" x14ac:dyDescent="0.25">
      <c r="A74" s="32"/>
      <c r="B74" s="74">
        <v>57</v>
      </c>
      <c r="C74" s="113" t="s">
        <v>41</v>
      </c>
      <c r="D74" s="112">
        <v>30</v>
      </c>
      <c r="E74" s="130">
        <f t="shared" si="1184"/>
        <v>30</v>
      </c>
      <c r="F74" s="44">
        <f t="shared" si="1185"/>
        <v>1333.3333333333333</v>
      </c>
      <c r="G74" s="116"/>
      <c r="H74" s="45">
        <f>H62*0.04</f>
        <v>40000</v>
      </c>
      <c r="I74" s="66"/>
      <c r="J74" s="67">
        <f t="shared" si="1186"/>
        <v>0</v>
      </c>
      <c r="K74" s="67">
        <f>I74*$G$74</f>
        <v>0</v>
      </c>
      <c r="L74" s="45">
        <f t="shared" si="1131"/>
        <v>0</v>
      </c>
      <c r="M74" s="66"/>
      <c r="N74" s="67">
        <f t="shared" ref="N74" si="1438">M74*$F$74</f>
        <v>0</v>
      </c>
      <c r="O74" s="67">
        <f t="shared" ref="O74" si="1439">M74*$G$74</f>
        <v>0</v>
      </c>
      <c r="P74" s="45">
        <f t="shared" si="1134"/>
        <v>0</v>
      </c>
      <c r="Q74" s="66"/>
      <c r="R74" s="67">
        <f t="shared" ref="R74" si="1440">Q74*$F$74</f>
        <v>0</v>
      </c>
      <c r="S74" s="67">
        <f t="shared" ref="S74" si="1441">Q74*$G$74</f>
        <v>0</v>
      </c>
      <c r="T74" s="45">
        <f t="shared" si="1137"/>
        <v>0</v>
      </c>
      <c r="U74" s="66"/>
      <c r="V74" s="67">
        <f t="shared" ref="V74" si="1442">U74*$F$74</f>
        <v>0</v>
      </c>
      <c r="W74" s="67">
        <f t="shared" ref="W74" si="1443">U74*$G$74</f>
        <v>0</v>
      </c>
      <c r="X74" s="45">
        <f t="shared" si="1140"/>
        <v>0</v>
      </c>
      <c r="Y74" s="66"/>
      <c r="Z74" s="67">
        <f t="shared" ref="Z74" si="1444">Y74*$F$74</f>
        <v>0</v>
      </c>
      <c r="AA74" s="67">
        <f t="shared" ref="AA74" si="1445">Y74*$G$74</f>
        <v>0</v>
      </c>
      <c r="AB74" s="45">
        <f t="shared" si="1143"/>
        <v>0</v>
      </c>
      <c r="AC74" s="66"/>
      <c r="AD74" s="67">
        <f t="shared" ref="AD74" si="1446">AC74*$F$74</f>
        <v>0</v>
      </c>
      <c r="AE74" s="67">
        <f t="shared" ref="AE74" si="1447">AC74*$G$74</f>
        <v>0</v>
      </c>
      <c r="AF74" s="45">
        <f t="shared" si="1146"/>
        <v>0</v>
      </c>
      <c r="AG74" s="66"/>
      <c r="AH74" s="67">
        <f t="shared" ref="AH74" si="1448">AG74*$F$74</f>
        <v>0</v>
      </c>
      <c r="AI74" s="67">
        <f t="shared" ref="AI74" si="1449">AG74*$G$74</f>
        <v>0</v>
      </c>
      <c r="AJ74" s="45">
        <f t="shared" si="1149"/>
        <v>0</v>
      </c>
      <c r="AK74" s="66"/>
      <c r="AL74" s="67">
        <f t="shared" ref="AL74" si="1450">AK74*$F$74</f>
        <v>0</v>
      </c>
      <c r="AM74" s="67">
        <f t="shared" ref="AM74" si="1451">AK74*$G$74</f>
        <v>0</v>
      </c>
      <c r="AN74" s="45">
        <f t="shared" si="1152"/>
        <v>0</v>
      </c>
      <c r="AO74" s="66"/>
      <c r="AP74" s="67">
        <f t="shared" ref="AP74" si="1452">AO74*$F$74</f>
        <v>0</v>
      </c>
      <c r="AQ74" s="67">
        <f t="shared" ref="AQ74" si="1453">AO74*$G$74</f>
        <v>0</v>
      </c>
      <c r="AR74" s="45">
        <f t="shared" si="1155"/>
        <v>0</v>
      </c>
      <c r="AS74" s="66"/>
      <c r="AT74" s="67">
        <f t="shared" ref="AT74" si="1454">AS74*$F$74</f>
        <v>0</v>
      </c>
      <c r="AU74" s="67">
        <f t="shared" ref="AU74" si="1455">AS74*$G$74</f>
        <v>0</v>
      </c>
      <c r="AV74" s="45">
        <f t="shared" si="1158"/>
        <v>0</v>
      </c>
      <c r="AW74" s="66"/>
      <c r="AX74" s="67">
        <f t="shared" ref="AX74" si="1456">AW74*$F$74</f>
        <v>0</v>
      </c>
      <c r="AY74" s="67">
        <f t="shared" ref="AY74" si="1457">AW74*$G$74</f>
        <v>0</v>
      </c>
      <c r="AZ74" s="45">
        <f t="shared" si="1161"/>
        <v>0</v>
      </c>
      <c r="BA74" s="66"/>
      <c r="BB74" s="67">
        <f t="shared" ref="BB74" si="1458">BA74*$F$74</f>
        <v>0</v>
      </c>
      <c r="BC74" s="67"/>
      <c r="BD74" s="45">
        <f t="shared" si="1163"/>
        <v>0</v>
      </c>
      <c r="BE74" s="66"/>
      <c r="BF74" s="44">
        <f t="shared" si="1208"/>
        <v>0</v>
      </c>
      <c r="BG74" s="44"/>
      <c r="BH74" s="45">
        <f t="shared" si="1210"/>
        <v>0</v>
      </c>
      <c r="BI74" s="66"/>
      <c r="BJ74" s="44">
        <f t="shared" si="1211"/>
        <v>0</v>
      </c>
      <c r="BK74" s="44"/>
      <c r="BL74" s="45">
        <f t="shared" si="1212"/>
        <v>0</v>
      </c>
      <c r="BM74" s="66"/>
      <c r="BN74" s="67">
        <f t="shared" si="1169"/>
        <v>0</v>
      </c>
      <c r="BO74" s="67"/>
      <c r="BP74" s="45">
        <f t="shared" si="1213"/>
        <v>0</v>
      </c>
      <c r="BQ74" s="66"/>
      <c r="BR74" s="44">
        <f t="shared" si="1171"/>
        <v>0</v>
      </c>
      <c r="BS74" s="67"/>
      <c r="BT74" s="45">
        <f t="shared" si="1172"/>
        <v>0</v>
      </c>
      <c r="BU74" s="66"/>
      <c r="BV74" s="44">
        <f t="shared" si="1173"/>
        <v>0</v>
      </c>
      <c r="BW74" s="67"/>
      <c r="BX74" s="45">
        <f t="shared" si="1174"/>
        <v>0</v>
      </c>
      <c r="BY74" s="66"/>
      <c r="BZ74" s="44">
        <f t="shared" si="1175"/>
        <v>0</v>
      </c>
      <c r="CA74" s="67"/>
      <c r="CB74" s="45">
        <f t="shared" ref="CB74:CB78" si="1459">CA74+BZ74</f>
        <v>0</v>
      </c>
      <c r="CC74" s="66"/>
      <c r="CD74" s="44">
        <f t="shared" si="1177"/>
        <v>0</v>
      </c>
      <c r="CE74" s="67"/>
      <c r="CF74" s="45">
        <f t="shared" si="1178"/>
        <v>0</v>
      </c>
      <c r="CG74" s="136"/>
      <c r="CH74" s="91">
        <f t="shared" si="1179"/>
        <v>0</v>
      </c>
      <c r="CI74" s="47">
        <f t="shared" si="1180"/>
        <v>0</v>
      </c>
      <c r="CJ74" s="47">
        <f t="shared" si="1181"/>
        <v>0</v>
      </c>
      <c r="CK74" s="48">
        <f t="shared" si="1214"/>
        <v>0</v>
      </c>
      <c r="CL74" s="49">
        <f t="shared" si="1182"/>
        <v>30</v>
      </c>
      <c r="CM74" s="50">
        <f t="shared" si="1183"/>
        <v>40000</v>
      </c>
      <c r="CO74" s="65"/>
      <c r="CP74" s="65"/>
    </row>
    <row r="75" spans="1:94" ht="26.25" customHeight="1" x14ac:dyDescent="0.25">
      <c r="A75" s="32"/>
      <c r="B75" s="74">
        <v>58</v>
      </c>
      <c r="C75" s="113" t="s">
        <v>60</v>
      </c>
      <c r="D75" s="112">
        <v>30</v>
      </c>
      <c r="E75" s="130">
        <f t="shared" si="1184"/>
        <v>30</v>
      </c>
      <c r="F75" s="44">
        <f t="shared" si="1185"/>
        <v>1000</v>
      </c>
      <c r="G75" s="116"/>
      <c r="H75" s="45">
        <f>H62*0.03</f>
        <v>30000</v>
      </c>
      <c r="I75" s="66"/>
      <c r="J75" s="67">
        <f t="shared" si="1186"/>
        <v>0</v>
      </c>
      <c r="K75" s="67">
        <f>I75*$G$75</f>
        <v>0</v>
      </c>
      <c r="L75" s="45">
        <f t="shared" si="1131"/>
        <v>0</v>
      </c>
      <c r="M75" s="66"/>
      <c r="N75" s="67">
        <f t="shared" ref="N75" si="1460">M75*$F$75</f>
        <v>0</v>
      </c>
      <c r="O75" s="67">
        <f t="shared" ref="O75" si="1461">M75*$G$75</f>
        <v>0</v>
      </c>
      <c r="P75" s="45">
        <f t="shared" si="1134"/>
        <v>0</v>
      </c>
      <c r="Q75" s="66"/>
      <c r="R75" s="67">
        <f t="shared" ref="R75" si="1462">Q75*$F$75</f>
        <v>0</v>
      </c>
      <c r="S75" s="67">
        <f t="shared" ref="S75" si="1463">Q75*$G$75</f>
        <v>0</v>
      </c>
      <c r="T75" s="45">
        <f t="shared" si="1137"/>
        <v>0</v>
      </c>
      <c r="U75" s="66"/>
      <c r="V75" s="67">
        <f t="shared" ref="V75" si="1464">U75*$F$75</f>
        <v>0</v>
      </c>
      <c r="W75" s="67">
        <f t="shared" ref="W75" si="1465">U75*$G$75</f>
        <v>0</v>
      </c>
      <c r="X75" s="45">
        <f t="shared" si="1140"/>
        <v>0</v>
      </c>
      <c r="Y75" s="66"/>
      <c r="Z75" s="67">
        <f t="shared" ref="Z75" si="1466">Y75*$F$75</f>
        <v>0</v>
      </c>
      <c r="AA75" s="67">
        <f t="shared" ref="AA75" si="1467">Y75*$G$75</f>
        <v>0</v>
      </c>
      <c r="AB75" s="45">
        <f t="shared" si="1143"/>
        <v>0</v>
      </c>
      <c r="AC75" s="66"/>
      <c r="AD75" s="67">
        <f t="shared" ref="AD75" si="1468">AC75*$F$75</f>
        <v>0</v>
      </c>
      <c r="AE75" s="67">
        <f t="shared" ref="AE75" si="1469">AC75*$G$75</f>
        <v>0</v>
      </c>
      <c r="AF75" s="45">
        <f t="shared" si="1146"/>
        <v>0</v>
      </c>
      <c r="AG75" s="66"/>
      <c r="AH75" s="67">
        <f t="shared" ref="AH75" si="1470">AG75*$F$75</f>
        <v>0</v>
      </c>
      <c r="AI75" s="67">
        <f t="shared" ref="AI75" si="1471">AG75*$G$75</f>
        <v>0</v>
      </c>
      <c r="AJ75" s="45">
        <f t="shared" si="1149"/>
        <v>0</v>
      </c>
      <c r="AK75" s="66"/>
      <c r="AL75" s="67">
        <f t="shared" ref="AL75" si="1472">AK75*$F$75</f>
        <v>0</v>
      </c>
      <c r="AM75" s="67">
        <f t="shared" ref="AM75" si="1473">AK75*$G$75</f>
        <v>0</v>
      </c>
      <c r="AN75" s="45">
        <f t="shared" si="1152"/>
        <v>0</v>
      </c>
      <c r="AO75" s="66"/>
      <c r="AP75" s="67">
        <f t="shared" ref="AP75" si="1474">AO75*$F$75</f>
        <v>0</v>
      </c>
      <c r="AQ75" s="67">
        <f t="shared" ref="AQ75" si="1475">AO75*$G$75</f>
        <v>0</v>
      </c>
      <c r="AR75" s="45">
        <f t="shared" si="1155"/>
        <v>0</v>
      </c>
      <c r="AS75" s="66"/>
      <c r="AT75" s="67">
        <f t="shared" ref="AT75" si="1476">AS75*$F$75</f>
        <v>0</v>
      </c>
      <c r="AU75" s="67">
        <f t="shared" ref="AU75" si="1477">AS75*$G$75</f>
        <v>0</v>
      </c>
      <c r="AV75" s="45">
        <f t="shared" si="1158"/>
        <v>0</v>
      </c>
      <c r="AW75" s="66"/>
      <c r="AX75" s="67">
        <f t="shared" ref="AX75" si="1478">AW75*$F$75</f>
        <v>0</v>
      </c>
      <c r="AY75" s="67">
        <f t="shared" ref="AY75" si="1479">AW75*$G$75</f>
        <v>0</v>
      </c>
      <c r="AZ75" s="45">
        <f t="shared" si="1161"/>
        <v>0</v>
      </c>
      <c r="BA75" s="66"/>
      <c r="BB75" s="67">
        <f t="shared" ref="BB75" si="1480">BA75*$F$75</f>
        <v>0</v>
      </c>
      <c r="BC75" s="67"/>
      <c r="BD75" s="45">
        <f t="shared" si="1163"/>
        <v>0</v>
      </c>
      <c r="BE75" s="66"/>
      <c r="BF75" s="44">
        <f t="shared" si="1208"/>
        <v>0</v>
      </c>
      <c r="BG75" s="44"/>
      <c r="BH75" s="45">
        <f t="shared" si="1210"/>
        <v>0</v>
      </c>
      <c r="BI75" s="66"/>
      <c r="BJ75" s="44">
        <f t="shared" si="1211"/>
        <v>0</v>
      </c>
      <c r="BK75" s="44"/>
      <c r="BL75" s="45">
        <f t="shared" si="1212"/>
        <v>0</v>
      </c>
      <c r="BM75" s="66"/>
      <c r="BN75" s="67">
        <f t="shared" si="1169"/>
        <v>0</v>
      </c>
      <c r="BO75" s="67"/>
      <c r="BP75" s="45">
        <f t="shared" si="1213"/>
        <v>0</v>
      </c>
      <c r="BQ75" s="66"/>
      <c r="BR75" s="44">
        <f t="shared" si="1171"/>
        <v>0</v>
      </c>
      <c r="BS75" s="67"/>
      <c r="BT75" s="45">
        <f t="shared" si="1172"/>
        <v>0</v>
      </c>
      <c r="BU75" s="66"/>
      <c r="BV75" s="44">
        <f t="shared" si="1173"/>
        <v>0</v>
      </c>
      <c r="BW75" s="67"/>
      <c r="BX75" s="45">
        <f t="shared" si="1174"/>
        <v>0</v>
      </c>
      <c r="BY75" s="66"/>
      <c r="BZ75" s="44">
        <f t="shared" ref="BZ75:BZ78" si="1481">BY75*J75</f>
        <v>0</v>
      </c>
      <c r="CA75" s="67"/>
      <c r="CB75" s="45">
        <f t="shared" si="1459"/>
        <v>0</v>
      </c>
      <c r="CC75" s="66"/>
      <c r="CD75" s="44">
        <f t="shared" si="1177"/>
        <v>0</v>
      </c>
      <c r="CE75" s="67"/>
      <c r="CF75" s="45">
        <f t="shared" si="1178"/>
        <v>0</v>
      </c>
      <c r="CG75" s="136"/>
      <c r="CH75" s="91">
        <f t="shared" si="1179"/>
        <v>0</v>
      </c>
      <c r="CI75" s="47">
        <f t="shared" si="1180"/>
        <v>0</v>
      </c>
      <c r="CJ75" s="47">
        <f t="shared" si="1181"/>
        <v>0</v>
      </c>
      <c r="CK75" s="48">
        <f t="shared" si="1214"/>
        <v>0</v>
      </c>
      <c r="CL75" s="49">
        <f t="shared" si="1182"/>
        <v>30</v>
      </c>
      <c r="CM75" s="50">
        <f t="shared" si="1183"/>
        <v>30000</v>
      </c>
      <c r="CO75" s="65"/>
      <c r="CP75" s="65"/>
    </row>
    <row r="76" spans="1:94" ht="26.25" customHeight="1" x14ac:dyDescent="0.25">
      <c r="A76" s="32"/>
      <c r="B76" s="74">
        <v>59</v>
      </c>
      <c r="C76" s="113" t="s">
        <v>84</v>
      </c>
      <c r="D76" s="112">
        <v>5</v>
      </c>
      <c r="E76" s="130">
        <f t="shared" ref="E76" si="1482">D76-I76-M76-Q76-U76-Y76-AC76-AK76-AO76-AS76-AW76-BA76-BE76-BI76</f>
        <v>5</v>
      </c>
      <c r="F76" s="44">
        <f t="shared" ref="F76" si="1483">H76/D76</f>
        <v>2000</v>
      </c>
      <c r="G76" s="116"/>
      <c r="H76" s="45">
        <f>H62*0.01</f>
        <v>10000</v>
      </c>
      <c r="I76" s="66"/>
      <c r="J76" s="67">
        <f t="shared" ref="J76" si="1484">I76*F76</f>
        <v>0</v>
      </c>
      <c r="K76" s="67">
        <f>I76*$G$75</f>
        <v>0</v>
      </c>
      <c r="L76" s="45">
        <f t="shared" ref="L76" si="1485">SUM(J76:K76)</f>
        <v>0</v>
      </c>
      <c r="M76" s="66"/>
      <c r="N76" s="67">
        <f t="shared" ref="N76" si="1486">M76*$F$75</f>
        <v>0</v>
      </c>
      <c r="O76" s="67">
        <f t="shared" ref="O76" si="1487">M76*$G$75</f>
        <v>0</v>
      </c>
      <c r="P76" s="45">
        <f t="shared" ref="P76" si="1488">SUM(N76:O76)</f>
        <v>0</v>
      </c>
      <c r="Q76" s="66"/>
      <c r="R76" s="67">
        <f t="shared" ref="R76" si="1489">Q76*$F$75</f>
        <v>0</v>
      </c>
      <c r="S76" s="67">
        <f t="shared" ref="S76" si="1490">Q76*$G$75</f>
        <v>0</v>
      </c>
      <c r="T76" s="45">
        <f t="shared" ref="T76" si="1491">SUM(R76:S76)</f>
        <v>0</v>
      </c>
      <c r="U76" s="66"/>
      <c r="V76" s="67">
        <f t="shared" ref="V76" si="1492">U76*$F$75</f>
        <v>0</v>
      </c>
      <c r="W76" s="67">
        <f t="shared" ref="W76" si="1493">U76*$G$75</f>
        <v>0</v>
      </c>
      <c r="X76" s="45">
        <f t="shared" ref="X76" si="1494">SUM(V76:W76)</f>
        <v>0</v>
      </c>
      <c r="Y76" s="66"/>
      <c r="Z76" s="67">
        <f t="shared" ref="Z76" si="1495">Y76*$F$75</f>
        <v>0</v>
      </c>
      <c r="AA76" s="67">
        <f t="shared" ref="AA76" si="1496">Y76*$G$75</f>
        <v>0</v>
      </c>
      <c r="AB76" s="45">
        <f t="shared" ref="AB76" si="1497">SUM(Z76:AA76)</f>
        <v>0</v>
      </c>
      <c r="AC76" s="66"/>
      <c r="AD76" s="67">
        <f t="shared" ref="AD76" si="1498">AC76*$F$75</f>
        <v>0</v>
      </c>
      <c r="AE76" s="67">
        <f t="shared" ref="AE76" si="1499">AC76*$G$75</f>
        <v>0</v>
      </c>
      <c r="AF76" s="45">
        <f t="shared" ref="AF76" si="1500">SUM(AD76:AE76)</f>
        <v>0</v>
      </c>
      <c r="AG76" s="66"/>
      <c r="AH76" s="67">
        <f t="shared" ref="AH76" si="1501">AG76*$F$75</f>
        <v>0</v>
      </c>
      <c r="AI76" s="67">
        <f t="shared" ref="AI76" si="1502">AG76*$G$75</f>
        <v>0</v>
      </c>
      <c r="AJ76" s="45">
        <f t="shared" ref="AJ76" si="1503">SUM(AH76:AI76)</f>
        <v>0</v>
      </c>
      <c r="AK76" s="66"/>
      <c r="AL76" s="67">
        <f t="shared" ref="AL76" si="1504">AK76*$F$75</f>
        <v>0</v>
      </c>
      <c r="AM76" s="67">
        <f t="shared" ref="AM76" si="1505">AK76*$G$75</f>
        <v>0</v>
      </c>
      <c r="AN76" s="45">
        <f t="shared" ref="AN76" si="1506">SUM(AL76:AM76)</f>
        <v>0</v>
      </c>
      <c r="AO76" s="66"/>
      <c r="AP76" s="67">
        <f t="shared" ref="AP76" si="1507">AO76*$F$75</f>
        <v>0</v>
      </c>
      <c r="AQ76" s="67">
        <f t="shared" ref="AQ76" si="1508">AO76*$G$75</f>
        <v>0</v>
      </c>
      <c r="AR76" s="45">
        <f t="shared" ref="AR76" si="1509">SUM(AP76:AQ76)</f>
        <v>0</v>
      </c>
      <c r="AS76" s="66"/>
      <c r="AT76" s="67">
        <f t="shared" ref="AT76" si="1510">AS76*$F$75</f>
        <v>0</v>
      </c>
      <c r="AU76" s="67">
        <f t="shared" ref="AU76" si="1511">AS76*$G$75</f>
        <v>0</v>
      </c>
      <c r="AV76" s="45">
        <f t="shared" ref="AV76" si="1512">SUM(AT76:AU76)</f>
        <v>0</v>
      </c>
      <c r="AW76" s="66"/>
      <c r="AX76" s="67">
        <f t="shared" ref="AX76" si="1513">AW76*$F$75</f>
        <v>0</v>
      </c>
      <c r="AY76" s="67">
        <f t="shared" ref="AY76" si="1514">AW76*$G$75</f>
        <v>0</v>
      </c>
      <c r="AZ76" s="45">
        <f t="shared" ref="AZ76" si="1515">SUM(AX76:AY76)</f>
        <v>0</v>
      </c>
      <c r="BA76" s="66"/>
      <c r="BB76" s="67">
        <f t="shared" ref="BB76" si="1516">BA76*$F$75</f>
        <v>0</v>
      </c>
      <c r="BC76" s="67"/>
      <c r="BD76" s="45">
        <f t="shared" ref="BD76" si="1517">SUM(BB76:BC76)</f>
        <v>0</v>
      </c>
      <c r="BE76" s="66"/>
      <c r="BF76" s="44">
        <f t="shared" ref="BF76" si="1518">F76*BE76</f>
        <v>0</v>
      </c>
      <c r="BG76" s="44"/>
      <c r="BH76" s="45">
        <f t="shared" ref="BH76" si="1519">BG76+BF76</f>
        <v>0</v>
      </c>
      <c r="BI76" s="66"/>
      <c r="BJ76" s="44">
        <f t="shared" ref="BJ76" si="1520">BI76*F76</f>
        <v>0</v>
      </c>
      <c r="BK76" s="44"/>
      <c r="BL76" s="45">
        <f t="shared" ref="BL76" si="1521">BK76+BJ76</f>
        <v>0</v>
      </c>
      <c r="BM76" s="66"/>
      <c r="BN76" s="67">
        <f t="shared" ref="BN76" si="1522">BM76*F76</f>
        <v>0</v>
      </c>
      <c r="BO76" s="67"/>
      <c r="BP76" s="45">
        <f t="shared" ref="BP76" si="1523">BO76+BN76</f>
        <v>0</v>
      </c>
      <c r="BQ76" s="66"/>
      <c r="BR76" s="44">
        <f t="shared" ref="BR76" si="1524">BQ76*F76</f>
        <v>0</v>
      </c>
      <c r="BS76" s="67"/>
      <c r="BT76" s="45">
        <f t="shared" ref="BT76" si="1525">BS76+BR76</f>
        <v>0</v>
      </c>
      <c r="BU76" s="66"/>
      <c r="BV76" s="44">
        <f t="shared" ref="BV76" si="1526">F76*BU76</f>
        <v>0</v>
      </c>
      <c r="BW76" s="67"/>
      <c r="BX76" s="45">
        <f t="shared" ref="BX76" si="1527">BW76+BV76</f>
        <v>0</v>
      </c>
      <c r="BY76" s="66"/>
      <c r="BZ76" s="44">
        <f t="shared" ref="BZ76" si="1528">BY76*J76</f>
        <v>0</v>
      </c>
      <c r="CA76" s="67"/>
      <c r="CB76" s="45">
        <f t="shared" ref="CB76" si="1529">CA76+BZ76</f>
        <v>0</v>
      </c>
      <c r="CC76" s="66"/>
      <c r="CD76" s="44">
        <f t="shared" ref="CD76" si="1530">CC76*N76</f>
        <v>0</v>
      </c>
      <c r="CE76" s="67"/>
      <c r="CF76" s="45">
        <f t="shared" ref="CF76" si="1531">CE76+CD76</f>
        <v>0</v>
      </c>
      <c r="CG76" s="136"/>
      <c r="CH76" s="91">
        <f t="shared" si="1179"/>
        <v>0</v>
      </c>
      <c r="CI76" s="47">
        <f t="shared" ref="CI76" si="1532">CH76*F76</f>
        <v>0</v>
      </c>
      <c r="CJ76" s="47">
        <f t="shared" ref="CJ76" si="1533">CH76*G76</f>
        <v>0</v>
      </c>
      <c r="CK76" s="48">
        <f t="shared" ref="CK76" si="1534">SUM(CI76:CJ76)</f>
        <v>0</v>
      </c>
      <c r="CL76" s="49">
        <f t="shared" ref="CL76" si="1535">D76-CH76</f>
        <v>5</v>
      </c>
      <c r="CM76" s="50">
        <f t="shared" ref="CM76" si="1536">H76-CK76</f>
        <v>10000</v>
      </c>
      <c r="CO76" s="65"/>
      <c r="CP76" s="65"/>
    </row>
    <row r="77" spans="1:94" ht="26.25" customHeight="1" x14ac:dyDescent="0.25">
      <c r="A77" s="32"/>
      <c r="B77" s="74">
        <v>60</v>
      </c>
      <c r="C77" s="113" t="s">
        <v>83</v>
      </c>
      <c r="D77" s="112">
        <v>30</v>
      </c>
      <c r="E77" s="130">
        <f t="shared" ref="E77" si="1537">D77-I77-M77-Q77-U77-Y77-AC77-AK77-AO77-AS77-AW77-BA77-BE77-BI77</f>
        <v>30</v>
      </c>
      <c r="F77" s="44">
        <f>H77/D77</f>
        <v>1000</v>
      </c>
      <c r="G77" s="116"/>
      <c r="H77" s="45">
        <f>H62*0.03</f>
        <v>30000</v>
      </c>
      <c r="I77" s="66"/>
      <c r="J77" s="67">
        <f t="shared" ref="J77" si="1538">I77*F77</f>
        <v>0</v>
      </c>
      <c r="K77" s="67">
        <f>I77*$G$75</f>
        <v>0</v>
      </c>
      <c r="L77" s="45">
        <f t="shared" ref="L77" si="1539">SUM(J77:K77)</f>
        <v>0</v>
      </c>
      <c r="M77" s="66"/>
      <c r="N77" s="67">
        <f t="shared" ref="N77" si="1540">M77*$F$75</f>
        <v>0</v>
      </c>
      <c r="O77" s="67">
        <f t="shared" ref="O77" si="1541">M77*$G$75</f>
        <v>0</v>
      </c>
      <c r="P77" s="45">
        <f t="shared" ref="P77" si="1542">SUM(N77:O77)</f>
        <v>0</v>
      </c>
      <c r="Q77" s="66"/>
      <c r="R77" s="67">
        <f t="shared" ref="R77" si="1543">Q77*$F$75</f>
        <v>0</v>
      </c>
      <c r="S77" s="67">
        <f t="shared" ref="S77" si="1544">Q77*$G$75</f>
        <v>0</v>
      </c>
      <c r="T77" s="45">
        <f t="shared" ref="T77" si="1545">SUM(R77:S77)</f>
        <v>0</v>
      </c>
      <c r="U77" s="66"/>
      <c r="V77" s="67">
        <f t="shared" ref="V77" si="1546">U77*$F$75</f>
        <v>0</v>
      </c>
      <c r="W77" s="67">
        <f t="shared" ref="W77" si="1547">U77*$G$75</f>
        <v>0</v>
      </c>
      <c r="X77" s="45">
        <f t="shared" ref="X77" si="1548">SUM(V77:W77)</f>
        <v>0</v>
      </c>
      <c r="Y77" s="66"/>
      <c r="Z77" s="67">
        <f t="shared" ref="Z77" si="1549">Y77*$F$75</f>
        <v>0</v>
      </c>
      <c r="AA77" s="67">
        <f t="shared" ref="AA77" si="1550">Y77*$G$75</f>
        <v>0</v>
      </c>
      <c r="AB77" s="45">
        <f t="shared" ref="AB77" si="1551">SUM(Z77:AA77)</f>
        <v>0</v>
      </c>
      <c r="AC77" s="66"/>
      <c r="AD77" s="67">
        <f t="shared" ref="AD77" si="1552">AC77*$F$75</f>
        <v>0</v>
      </c>
      <c r="AE77" s="67">
        <f t="shared" ref="AE77" si="1553">AC77*$G$75</f>
        <v>0</v>
      </c>
      <c r="AF77" s="45">
        <f t="shared" ref="AF77" si="1554">SUM(AD77:AE77)</f>
        <v>0</v>
      </c>
      <c r="AG77" s="66"/>
      <c r="AH77" s="67">
        <f t="shared" ref="AH77" si="1555">AG77*$F$75</f>
        <v>0</v>
      </c>
      <c r="AI77" s="67">
        <f t="shared" ref="AI77" si="1556">AG77*$G$75</f>
        <v>0</v>
      </c>
      <c r="AJ77" s="45">
        <f t="shared" ref="AJ77" si="1557">SUM(AH77:AI77)</f>
        <v>0</v>
      </c>
      <c r="AK77" s="66"/>
      <c r="AL77" s="67">
        <f t="shared" ref="AL77" si="1558">AK77*$F$75</f>
        <v>0</v>
      </c>
      <c r="AM77" s="67">
        <f t="shared" ref="AM77" si="1559">AK77*$G$75</f>
        <v>0</v>
      </c>
      <c r="AN77" s="45">
        <f t="shared" ref="AN77" si="1560">SUM(AL77:AM77)</f>
        <v>0</v>
      </c>
      <c r="AO77" s="66"/>
      <c r="AP77" s="67">
        <f t="shared" ref="AP77" si="1561">AO77*$F$75</f>
        <v>0</v>
      </c>
      <c r="AQ77" s="67">
        <f t="shared" ref="AQ77" si="1562">AO77*$G$75</f>
        <v>0</v>
      </c>
      <c r="AR77" s="45">
        <f t="shared" ref="AR77" si="1563">SUM(AP77:AQ77)</f>
        <v>0</v>
      </c>
      <c r="AS77" s="66"/>
      <c r="AT77" s="67">
        <f t="shared" ref="AT77" si="1564">AS77*$F$75</f>
        <v>0</v>
      </c>
      <c r="AU77" s="67">
        <f t="shared" ref="AU77" si="1565">AS77*$G$75</f>
        <v>0</v>
      </c>
      <c r="AV77" s="45">
        <f t="shared" ref="AV77" si="1566">SUM(AT77:AU77)</f>
        <v>0</v>
      </c>
      <c r="AW77" s="66"/>
      <c r="AX77" s="67">
        <f t="shared" ref="AX77" si="1567">AW77*$F$75</f>
        <v>0</v>
      </c>
      <c r="AY77" s="67">
        <f t="shared" ref="AY77" si="1568">AW77*$G$75</f>
        <v>0</v>
      </c>
      <c r="AZ77" s="45">
        <f t="shared" ref="AZ77" si="1569">SUM(AX77:AY77)</f>
        <v>0</v>
      </c>
      <c r="BA77" s="66"/>
      <c r="BB77" s="67">
        <f t="shared" ref="BB77" si="1570">BA77*$F$75</f>
        <v>0</v>
      </c>
      <c r="BC77" s="67"/>
      <c r="BD77" s="45">
        <f t="shared" ref="BD77" si="1571">SUM(BB77:BC77)</f>
        <v>0</v>
      </c>
      <c r="BE77" s="66"/>
      <c r="BF77" s="44">
        <f t="shared" ref="BF77" si="1572">F77*BE77</f>
        <v>0</v>
      </c>
      <c r="BG77" s="44"/>
      <c r="BH77" s="45">
        <f t="shared" ref="BH77" si="1573">BG77+BF77</f>
        <v>0</v>
      </c>
      <c r="BI77" s="66"/>
      <c r="BJ77" s="44">
        <f t="shared" ref="BJ77" si="1574">BI77*F77</f>
        <v>0</v>
      </c>
      <c r="BK77" s="44"/>
      <c r="BL77" s="45">
        <f t="shared" ref="BL77" si="1575">BK77+BJ77</f>
        <v>0</v>
      </c>
      <c r="BM77" s="66"/>
      <c r="BN77" s="67">
        <f t="shared" ref="BN77" si="1576">BM77*F77</f>
        <v>0</v>
      </c>
      <c r="BO77" s="67"/>
      <c r="BP77" s="45">
        <f t="shared" ref="BP77" si="1577">BO77+BN77</f>
        <v>0</v>
      </c>
      <c r="BQ77" s="66"/>
      <c r="BR77" s="44">
        <f t="shared" ref="BR77" si="1578">BQ77*F77</f>
        <v>0</v>
      </c>
      <c r="BS77" s="67"/>
      <c r="BT77" s="45">
        <f t="shared" ref="BT77" si="1579">BS77+BR77</f>
        <v>0</v>
      </c>
      <c r="BU77" s="66"/>
      <c r="BV77" s="44">
        <f t="shared" ref="BV77" si="1580">F77*BU77</f>
        <v>0</v>
      </c>
      <c r="BW77" s="67"/>
      <c r="BX77" s="45">
        <f t="shared" ref="BX77" si="1581">BW77+BV77</f>
        <v>0</v>
      </c>
      <c r="BY77" s="66"/>
      <c r="BZ77" s="44">
        <f t="shared" ref="BZ77" si="1582">BY77*J77</f>
        <v>0</v>
      </c>
      <c r="CA77" s="67"/>
      <c r="CB77" s="45">
        <f t="shared" ref="CB77" si="1583">CA77+BZ77</f>
        <v>0</v>
      </c>
      <c r="CC77" s="66"/>
      <c r="CD77" s="44">
        <f t="shared" ref="CD77" si="1584">CC77*N77</f>
        <v>0</v>
      </c>
      <c r="CE77" s="67"/>
      <c r="CF77" s="45">
        <f t="shared" ref="CF77" si="1585">CE77+CD77</f>
        <v>0</v>
      </c>
      <c r="CG77" s="136"/>
      <c r="CH77" s="91">
        <f t="shared" si="1179"/>
        <v>0</v>
      </c>
      <c r="CI77" s="47">
        <f t="shared" ref="CI77" si="1586">CH77*F77</f>
        <v>0</v>
      </c>
      <c r="CJ77" s="47">
        <f t="shared" ref="CJ77" si="1587">CH77*G77</f>
        <v>0</v>
      </c>
      <c r="CK77" s="48">
        <f t="shared" ref="CK77" si="1588">SUM(CI77:CJ77)</f>
        <v>0</v>
      </c>
      <c r="CL77" s="49">
        <f t="shared" ref="CL77" si="1589">D77-CH77</f>
        <v>30</v>
      </c>
      <c r="CM77" s="50">
        <f t="shared" ref="CM77" si="1590">H77-CK77</f>
        <v>30000</v>
      </c>
      <c r="CO77" s="65"/>
      <c r="CP77" s="65"/>
    </row>
    <row r="78" spans="1:94" ht="26.25" customHeight="1" x14ac:dyDescent="0.25">
      <c r="A78" s="32"/>
      <c r="B78" s="74">
        <v>61</v>
      </c>
      <c r="C78" s="113" t="s">
        <v>61</v>
      </c>
      <c r="D78" s="112">
        <v>30</v>
      </c>
      <c r="E78" s="130">
        <f t="shared" si="1184"/>
        <v>30</v>
      </c>
      <c r="F78" s="44">
        <f t="shared" si="1185"/>
        <v>666.66666666666663</v>
      </c>
      <c r="G78" s="116"/>
      <c r="H78" s="45">
        <f>H62*0.02</f>
        <v>20000</v>
      </c>
      <c r="I78" s="66"/>
      <c r="J78" s="67">
        <f t="shared" si="1186"/>
        <v>0</v>
      </c>
      <c r="K78" s="67">
        <f>I78*$G$78</f>
        <v>0</v>
      </c>
      <c r="L78" s="45">
        <f t="shared" si="1131"/>
        <v>0</v>
      </c>
      <c r="M78" s="66"/>
      <c r="N78" s="67">
        <f t="shared" ref="N78" si="1591">M78*$F$78</f>
        <v>0</v>
      </c>
      <c r="O78" s="67">
        <f t="shared" ref="O78" si="1592">M78*$G$78</f>
        <v>0</v>
      </c>
      <c r="P78" s="45">
        <f t="shared" si="1134"/>
        <v>0</v>
      </c>
      <c r="Q78" s="66"/>
      <c r="R78" s="67">
        <f t="shared" ref="R78" si="1593">Q78*$F$78</f>
        <v>0</v>
      </c>
      <c r="S78" s="67">
        <f t="shared" ref="S78" si="1594">Q78*$G$78</f>
        <v>0</v>
      </c>
      <c r="T78" s="45">
        <f t="shared" si="1137"/>
        <v>0</v>
      </c>
      <c r="U78" s="66"/>
      <c r="V78" s="67">
        <f t="shared" ref="V78" si="1595">U78*$F$78</f>
        <v>0</v>
      </c>
      <c r="W78" s="67">
        <f t="shared" ref="W78" si="1596">U78*$G$78</f>
        <v>0</v>
      </c>
      <c r="X78" s="45">
        <f t="shared" si="1140"/>
        <v>0</v>
      </c>
      <c r="Y78" s="66"/>
      <c r="Z78" s="67">
        <f t="shared" ref="Z78" si="1597">Y78*$F$78</f>
        <v>0</v>
      </c>
      <c r="AA78" s="67">
        <f t="shared" ref="AA78" si="1598">Y78*$G$78</f>
        <v>0</v>
      </c>
      <c r="AB78" s="45">
        <f t="shared" si="1143"/>
        <v>0</v>
      </c>
      <c r="AC78" s="66"/>
      <c r="AD78" s="67">
        <f t="shared" ref="AD78" si="1599">AC78*$F$78</f>
        <v>0</v>
      </c>
      <c r="AE78" s="67">
        <f t="shared" ref="AE78" si="1600">AC78*$G$78</f>
        <v>0</v>
      </c>
      <c r="AF78" s="45">
        <f t="shared" si="1146"/>
        <v>0</v>
      </c>
      <c r="AG78" s="66"/>
      <c r="AH78" s="67">
        <f t="shared" ref="AH78" si="1601">AG78*$F$78</f>
        <v>0</v>
      </c>
      <c r="AI78" s="67">
        <f t="shared" ref="AI78" si="1602">AG78*$G$78</f>
        <v>0</v>
      </c>
      <c r="AJ78" s="45">
        <f t="shared" si="1149"/>
        <v>0</v>
      </c>
      <c r="AK78" s="66"/>
      <c r="AL78" s="67">
        <f t="shared" ref="AL78" si="1603">AK78*$F$78</f>
        <v>0</v>
      </c>
      <c r="AM78" s="67">
        <f t="shared" ref="AM78" si="1604">AK78*$G$78</f>
        <v>0</v>
      </c>
      <c r="AN78" s="45">
        <f t="shared" si="1152"/>
        <v>0</v>
      </c>
      <c r="AO78" s="66"/>
      <c r="AP78" s="67">
        <f t="shared" ref="AP78" si="1605">AO78*$F$78</f>
        <v>0</v>
      </c>
      <c r="AQ78" s="67">
        <f t="shared" ref="AQ78" si="1606">AO78*$G$78</f>
        <v>0</v>
      </c>
      <c r="AR78" s="45">
        <f t="shared" si="1155"/>
        <v>0</v>
      </c>
      <c r="AS78" s="66"/>
      <c r="AT78" s="67">
        <f t="shared" ref="AT78" si="1607">AS78*$F$78</f>
        <v>0</v>
      </c>
      <c r="AU78" s="67">
        <f t="shared" ref="AU78" si="1608">AS78*$G$78</f>
        <v>0</v>
      </c>
      <c r="AV78" s="45">
        <f t="shared" si="1158"/>
        <v>0</v>
      </c>
      <c r="AW78" s="66"/>
      <c r="AX78" s="67">
        <f t="shared" ref="AX78" si="1609">AW78*$F$78</f>
        <v>0</v>
      </c>
      <c r="AY78" s="67">
        <f t="shared" ref="AY78" si="1610">AW78*$G$78</f>
        <v>0</v>
      </c>
      <c r="AZ78" s="45">
        <f t="shared" si="1161"/>
        <v>0</v>
      </c>
      <c r="BA78" s="66"/>
      <c r="BB78" s="67">
        <f t="shared" ref="BB78" si="1611">BA78*$F$78</f>
        <v>0</v>
      </c>
      <c r="BC78" s="67">
        <f t="shared" ref="BC78" si="1612">BA78*$G$78</f>
        <v>0</v>
      </c>
      <c r="BD78" s="45">
        <f t="shared" si="1163"/>
        <v>0</v>
      </c>
      <c r="BE78" s="66"/>
      <c r="BF78" s="44">
        <f t="shared" si="1208"/>
        <v>0</v>
      </c>
      <c r="BG78" s="44">
        <f t="shared" si="1209"/>
        <v>0</v>
      </c>
      <c r="BH78" s="45">
        <f t="shared" si="1210"/>
        <v>0</v>
      </c>
      <c r="BI78" s="66"/>
      <c r="BJ78" s="44">
        <f t="shared" si="1211"/>
        <v>0</v>
      </c>
      <c r="BK78" s="44"/>
      <c r="BL78" s="45">
        <f t="shared" si="1212"/>
        <v>0</v>
      </c>
      <c r="BM78" s="66"/>
      <c r="BN78" s="67">
        <f t="shared" si="1169"/>
        <v>0</v>
      </c>
      <c r="BO78" s="67"/>
      <c r="BP78" s="45">
        <f t="shared" si="1213"/>
        <v>0</v>
      </c>
      <c r="BQ78" s="66"/>
      <c r="BR78" s="44">
        <f t="shared" si="1171"/>
        <v>0</v>
      </c>
      <c r="BS78" s="67"/>
      <c r="BT78" s="45">
        <f t="shared" si="1172"/>
        <v>0</v>
      </c>
      <c r="BU78" s="66"/>
      <c r="BV78" s="44">
        <f t="shared" si="1173"/>
        <v>0</v>
      </c>
      <c r="BW78" s="67"/>
      <c r="BX78" s="45">
        <f t="shared" si="1174"/>
        <v>0</v>
      </c>
      <c r="BY78" s="66"/>
      <c r="BZ78" s="44">
        <f t="shared" si="1481"/>
        <v>0</v>
      </c>
      <c r="CA78" s="67"/>
      <c r="CB78" s="45">
        <f t="shared" si="1459"/>
        <v>0</v>
      </c>
      <c r="CC78" s="66"/>
      <c r="CD78" s="44">
        <f t="shared" si="1177"/>
        <v>0</v>
      </c>
      <c r="CE78" s="67"/>
      <c r="CF78" s="45">
        <f t="shared" si="1178"/>
        <v>0</v>
      </c>
      <c r="CG78" s="136"/>
      <c r="CH78" s="91">
        <f t="shared" si="1179"/>
        <v>0</v>
      </c>
      <c r="CI78" s="47">
        <f t="shared" si="1180"/>
        <v>0</v>
      </c>
      <c r="CJ78" s="47">
        <f t="shared" si="1181"/>
        <v>0</v>
      </c>
      <c r="CK78" s="48">
        <f t="shared" si="1214"/>
        <v>0</v>
      </c>
      <c r="CL78" s="49">
        <f t="shared" si="1182"/>
        <v>30</v>
      </c>
      <c r="CM78" s="50">
        <f t="shared" si="1183"/>
        <v>20000</v>
      </c>
      <c r="CO78" s="65"/>
      <c r="CP78" s="65"/>
    </row>
    <row r="79" spans="1:94" ht="26.25" customHeight="1" x14ac:dyDescent="0.25">
      <c r="A79" s="32"/>
      <c r="B79" s="74">
        <v>62</v>
      </c>
      <c r="C79" s="113"/>
      <c r="D79" s="112"/>
      <c r="E79" s="164"/>
      <c r="F79" s="44"/>
      <c r="G79" s="116"/>
      <c r="H79" s="45"/>
      <c r="I79" s="66"/>
      <c r="J79" s="67"/>
      <c r="K79" s="67"/>
      <c r="L79" s="45"/>
      <c r="M79" s="66"/>
      <c r="N79" s="67"/>
      <c r="O79" s="67"/>
      <c r="P79" s="45"/>
      <c r="Q79" s="66"/>
      <c r="R79" s="67"/>
      <c r="S79" s="67"/>
      <c r="T79" s="45"/>
      <c r="U79" s="66"/>
      <c r="V79" s="67"/>
      <c r="W79" s="67"/>
      <c r="X79" s="45"/>
      <c r="Y79" s="66"/>
      <c r="Z79" s="67"/>
      <c r="AA79" s="67"/>
      <c r="AB79" s="45"/>
      <c r="AC79" s="66"/>
      <c r="AD79" s="67"/>
      <c r="AE79" s="67"/>
      <c r="AF79" s="45"/>
      <c r="AG79" s="66"/>
      <c r="AH79" s="67"/>
      <c r="AI79" s="67"/>
      <c r="AJ79" s="45"/>
      <c r="AK79" s="66"/>
      <c r="AL79" s="67"/>
      <c r="AM79" s="67"/>
      <c r="AN79" s="45"/>
      <c r="AO79" s="66"/>
      <c r="AP79" s="67"/>
      <c r="AQ79" s="67"/>
      <c r="AR79" s="45"/>
      <c r="AS79" s="66"/>
      <c r="AT79" s="67"/>
      <c r="AU79" s="67"/>
      <c r="AV79" s="45"/>
      <c r="AW79" s="66"/>
      <c r="AX79" s="67"/>
      <c r="AY79" s="67"/>
      <c r="AZ79" s="45"/>
      <c r="BA79" s="66"/>
      <c r="BB79" s="67"/>
      <c r="BC79" s="67"/>
      <c r="BD79" s="45"/>
      <c r="BE79" s="66"/>
      <c r="BF79" s="44"/>
      <c r="BG79" s="44"/>
      <c r="BH79" s="45"/>
      <c r="BI79" s="66"/>
      <c r="BJ79" s="44"/>
      <c r="BK79" s="44"/>
      <c r="BL79" s="45"/>
      <c r="BM79" s="66"/>
      <c r="BN79" s="67"/>
      <c r="BO79" s="67"/>
      <c r="BP79" s="45"/>
      <c r="BQ79" s="66"/>
      <c r="BR79" s="44"/>
      <c r="BS79" s="67"/>
      <c r="BT79" s="45"/>
      <c r="BU79" s="66"/>
      <c r="BV79" s="44"/>
      <c r="BW79" s="67"/>
      <c r="BX79" s="45"/>
      <c r="BY79" s="66"/>
      <c r="BZ79" s="44"/>
      <c r="CA79" s="67"/>
      <c r="CB79" s="45"/>
      <c r="CC79" s="66"/>
      <c r="CD79" s="44"/>
      <c r="CE79" s="67"/>
      <c r="CF79" s="45"/>
      <c r="CG79" s="136"/>
      <c r="CH79" s="91"/>
      <c r="CI79" s="47"/>
      <c r="CJ79" s="47"/>
      <c r="CK79" s="48"/>
      <c r="CL79" s="49"/>
      <c r="CM79" s="50"/>
      <c r="CO79" s="65"/>
      <c r="CP79" s="65"/>
    </row>
    <row r="80" spans="1:94" s="158" customFormat="1" ht="26.25" customHeight="1" x14ac:dyDescent="0.25">
      <c r="A80" s="148"/>
      <c r="B80" s="74">
        <v>63</v>
      </c>
      <c r="C80" s="146" t="s">
        <v>78</v>
      </c>
      <c r="D80" s="149"/>
      <c r="E80" s="149"/>
      <c r="F80" s="150"/>
      <c r="G80" s="151"/>
      <c r="H80" s="147">
        <f>SUM(H63:H78)</f>
        <v>1000000</v>
      </c>
      <c r="I80" s="152"/>
      <c r="J80" s="153"/>
      <c r="K80" s="153"/>
      <c r="L80" s="147"/>
      <c r="M80" s="152"/>
      <c r="N80" s="153"/>
      <c r="O80" s="153"/>
      <c r="P80" s="147"/>
      <c r="Q80" s="152"/>
      <c r="R80" s="153"/>
      <c r="S80" s="153"/>
      <c r="T80" s="147"/>
      <c r="U80" s="152"/>
      <c r="V80" s="153"/>
      <c r="W80" s="153"/>
      <c r="X80" s="147"/>
      <c r="Y80" s="152"/>
      <c r="Z80" s="153"/>
      <c r="AA80" s="153"/>
      <c r="AB80" s="147"/>
      <c r="AC80" s="152"/>
      <c r="AD80" s="153"/>
      <c r="AE80" s="153"/>
      <c r="AF80" s="147"/>
      <c r="AG80" s="152"/>
      <c r="AH80" s="153"/>
      <c r="AI80" s="153"/>
      <c r="AJ80" s="147"/>
      <c r="AK80" s="152"/>
      <c r="AL80" s="153"/>
      <c r="AM80" s="153"/>
      <c r="AN80" s="147"/>
      <c r="AO80" s="152"/>
      <c r="AP80" s="153"/>
      <c r="AQ80" s="153"/>
      <c r="AR80" s="147"/>
      <c r="AS80" s="152"/>
      <c r="AT80" s="153"/>
      <c r="AU80" s="153"/>
      <c r="AV80" s="147"/>
      <c r="AW80" s="152"/>
      <c r="AX80" s="153"/>
      <c r="AY80" s="153"/>
      <c r="AZ80" s="147"/>
      <c r="BA80" s="152"/>
      <c r="BB80" s="153"/>
      <c r="BC80" s="153"/>
      <c r="BD80" s="147"/>
      <c r="BE80" s="152"/>
      <c r="BF80" s="153"/>
      <c r="BG80" s="153"/>
      <c r="BH80" s="147"/>
      <c r="BI80" s="152"/>
      <c r="BJ80" s="153"/>
      <c r="BK80" s="153"/>
      <c r="BL80" s="147"/>
      <c r="BM80" s="152"/>
      <c r="BN80" s="153"/>
      <c r="BO80" s="153"/>
      <c r="BP80" s="147"/>
      <c r="BQ80" s="152"/>
      <c r="BR80" s="153"/>
      <c r="BS80" s="153"/>
      <c r="BT80" s="147"/>
      <c r="BU80" s="152"/>
      <c r="BV80" s="153"/>
      <c r="BW80" s="153"/>
      <c r="BX80" s="147"/>
      <c r="BY80" s="152"/>
      <c r="BZ80" s="153"/>
      <c r="CA80" s="153"/>
      <c r="CB80" s="147"/>
      <c r="CC80" s="152"/>
      <c r="CD80" s="153"/>
      <c r="CE80" s="153"/>
      <c r="CF80" s="147"/>
      <c r="CG80" s="154"/>
      <c r="CH80" s="155">
        <f t="shared" ref="CH80" si="1613">I80+M80+Q80+U80+Y80+AC80+AG80+AK80+AO80+BA80</f>
        <v>0</v>
      </c>
      <c r="CI80" s="150">
        <f t="shared" si="1180"/>
        <v>0</v>
      </c>
      <c r="CJ80" s="150">
        <f t="shared" si="1181"/>
        <v>0</v>
      </c>
      <c r="CK80" s="156">
        <f t="shared" ref="CK80" si="1614">SUM(CI80:CJ80)</f>
        <v>0</v>
      </c>
      <c r="CL80" s="153">
        <f t="shared" si="1182"/>
        <v>0</v>
      </c>
      <c r="CM80" s="157">
        <f t="shared" si="1183"/>
        <v>1000000</v>
      </c>
      <c r="CO80" s="159"/>
      <c r="CP80" s="159"/>
    </row>
    <row r="81" spans="1:94" ht="26.25" customHeight="1" x14ac:dyDescent="0.25">
      <c r="A81" s="32"/>
      <c r="B81" s="74">
        <v>64</v>
      </c>
      <c r="C81" s="113"/>
      <c r="D81" s="112"/>
      <c r="E81" s="112"/>
      <c r="F81" s="166"/>
      <c r="G81" s="167"/>
      <c r="H81" s="115"/>
      <c r="I81" s="168"/>
      <c r="J81" s="67"/>
      <c r="K81" s="67"/>
      <c r="L81" s="45"/>
      <c r="M81" s="168"/>
      <c r="N81" s="67"/>
      <c r="O81" s="67"/>
      <c r="P81" s="45"/>
      <c r="Q81" s="168"/>
      <c r="R81" s="67"/>
      <c r="S81" s="67"/>
      <c r="T81" s="45"/>
      <c r="U81" s="168"/>
      <c r="V81" s="67"/>
      <c r="W81" s="67"/>
      <c r="X81" s="45"/>
      <c r="Y81" s="168"/>
      <c r="Z81" s="67"/>
      <c r="AA81" s="67"/>
      <c r="AB81" s="45"/>
      <c r="AC81" s="168"/>
      <c r="AD81" s="67"/>
      <c r="AE81" s="67"/>
      <c r="AF81" s="45"/>
      <c r="AG81" s="168"/>
      <c r="AH81" s="67"/>
      <c r="AI81" s="67"/>
      <c r="AJ81" s="45"/>
      <c r="AK81" s="168"/>
      <c r="AL81" s="67"/>
      <c r="AM81" s="67"/>
      <c r="AN81" s="45"/>
      <c r="AO81" s="168"/>
      <c r="AP81" s="67"/>
      <c r="AQ81" s="67"/>
      <c r="AR81" s="45"/>
      <c r="AS81" s="168"/>
      <c r="AT81" s="67"/>
      <c r="AU81" s="67"/>
      <c r="AV81" s="45"/>
      <c r="AW81" s="168"/>
      <c r="AX81" s="67"/>
      <c r="AY81" s="67"/>
      <c r="AZ81" s="45"/>
      <c r="BA81" s="168"/>
      <c r="BB81" s="67"/>
      <c r="BC81" s="67"/>
      <c r="BD81" s="45"/>
      <c r="BE81" s="168"/>
      <c r="BF81" s="67"/>
      <c r="BG81" s="67"/>
      <c r="BH81" s="45"/>
      <c r="BI81" s="168"/>
      <c r="BJ81" s="67"/>
      <c r="BK81" s="67"/>
      <c r="BL81" s="45"/>
      <c r="BM81" s="168"/>
      <c r="BN81" s="67"/>
      <c r="BO81" s="67"/>
      <c r="BP81" s="45"/>
      <c r="BQ81" s="168"/>
      <c r="BR81" s="67"/>
      <c r="BS81" s="67"/>
      <c r="BT81" s="45"/>
      <c r="BU81" s="168"/>
      <c r="BV81" s="67"/>
      <c r="BW81" s="67"/>
      <c r="BX81" s="45"/>
      <c r="BY81" s="168"/>
      <c r="BZ81" s="67"/>
      <c r="CA81" s="67"/>
      <c r="CB81" s="45"/>
      <c r="CC81" s="168"/>
      <c r="CD81" s="67"/>
      <c r="CE81" s="67"/>
      <c r="CF81" s="45"/>
      <c r="CG81" s="136"/>
      <c r="CH81" s="169"/>
      <c r="CI81" s="166"/>
      <c r="CJ81" s="166"/>
      <c r="CK81" s="170"/>
      <c r="CL81" s="67"/>
      <c r="CM81" s="171"/>
      <c r="CO81" s="65"/>
      <c r="CP81" s="65"/>
    </row>
    <row r="82" spans="1:94" s="104" customFormat="1" ht="26.25" customHeight="1" x14ac:dyDescent="0.25">
      <c r="A82" s="97"/>
      <c r="B82" s="98"/>
      <c r="C82" s="102" t="s">
        <v>82</v>
      </c>
      <c r="D82" s="110"/>
      <c r="E82" s="110"/>
      <c r="F82" s="106"/>
      <c r="G82" s="108"/>
      <c r="H82" s="165">
        <f>H129*0.25</f>
        <v>1000000</v>
      </c>
      <c r="I82" s="46"/>
      <c r="J82" s="49"/>
      <c r="K82" s="49"/>
      <c r="L82" s="107"/>
      <c r="M82" s="46"/>
      <c r="N82" s="49"/>
      <c r="O82" s="49"/>
      <c r="P82" s="107"/>
      <c r="Q82" s="46"/>
      <c r="R82" s="49"/>
      <c r="S82" s="49"/>
      <c r="T82" s="107"/>
      <c r="U82" s="46"/>
      <c r="V82" s="49"/>
      <c r="W82" s="49"/>
      <c r="X82" s="107"/>
      <c r="Y82" s="46"/>
      <c r="Z82" s="49"/>
      <c r="AA82" s="49"/>
      <c r="AB82" s="107"/>
      <c r="AC82" s="46"/>
      <c r="AD82" s="49"/>
      <c r="AE82" s="49"/>
      <c r="AF82" s="107"/>
      <c r="AG82" s="46"/>
      <c r="AH82" s="49"/>
      <c r="AI82" s="49"/>
      <c r="AJ82" s="107"/>
      <c r="AK82" s="46"/>
      <c r="AL82" s="49"/>
      <c r="AM82" s="49"/>
      <c r="AN82" s="107"/>
      <c r="AO82" s="46"/>
      <c r="AP82" s="49"/>
      <c r="AQ82" s="49"/>
      <c r="AR82" s="107"/>
      <c r="AS82" s="46"/>
      <c r="AT82" s="49"/>
      <c r="AU82" s="49"/>
      <c r="AV82" s="107"/>
      <c r="AW82" s="46"/>
      <c r="AX82" s="49"/>
      <c r="AY82" s="49"/>
      <c r="AZ82" s="107"/>
      <c r="BA82" s="46"/>
      <c r="BB82" s="49"/>
      <c r="BC82" s="49"/>
      <c r="BD82" s="107"/>
      <c r="BE82" s="46"/>
      <c r="BF82" s="49"/>
      <c r="BG82" s="49"/>
      <c r="BH82" s="107"/>
      <c r="BI82" s="46"/>
      <c r="BJ82" s="49"/>
      <c r="BK82" s="49"/>
      <c r="BL82" s="107"/>
      <c r="BM82" s="46"/>
      <c r="BN82" s="49"/>
      <c r="BO82" s="49"/>
      <c r="BP82" s="107"/>
      <c r="BQ82" s="46"/>
      <c r="BR82" s="49"/>
      <c r="BS82" s="49"/>
      <c r="BT82" s="107"/>
      <c r="BU82" s="46"/>
      <c r="BV82" s="49"/>
      <c r="BW82" s="49"/>
      <c r="BX82" s="107"/>
      <c r="BY82" s="46"/>
      <c r="BZ82" s="49"/>
      <c r="CA82" s="49"/>
      <c r="CB82" s="107"/>
      <c r="CC82" s="46"/>
      <c r="CD82" s="49"/>
      <c r="CE82" s="49"/>
      <c r="CF82" s="107"/>
      <c r="CG82" s="140"/>
      <c r="CH82" s="46"/>
      <c r="CI82" s="106"/>
      <c r="CJ82" s="106"/>
      <c r="CK82" s="106"/>
      <c r="CL82" s="106"/>
      <c r="CM82" s="50"/>
      <c r="CO82" s="105"/>
      <c r="CP82" s="105"/>
    </row>
    <row r="83" spans="1:94" ht="26.25" customHeight="1" x14ac:dyDescent="0.25">
      <c r="A83" s="32"/>
      <c r="B83" s="74">
        <v>65</v>
      </c>
      <c r="C83" s="113" t="s">
        <v>36</v>
      </c>
      <c r="D83" s="112">
        <v>30</v>
      </c>
      <c r="E83" s="130">
        <f>D83-I83-M83-Q83-U83-Y83-AC83-AK83-AO83-AS83-AW83-BA83-BE83-BI83</f>
        <v>30</v>
      </c>
      <c r="F83" s="44">
        <f>H83/D83</f>
        <v>1333.3333333333333</v>
      </c>
      <c r="G83" s="116"/>
      <c r="H83" s="45">
        <f>H82*0.04</f>
        <v>40000</v>
      </c>
      <c r="I83" s="66"/>
      <c r="J83" s="67">
        <f>I83*F83</f>
        <v>0</v>
      </c>
      <c r="K83" s="67">
        <f>I83*$G$63</f>
        <v>0</v>
      </c>
      <c r="L83" s="45">
        <f t="shared" ref="L83" si="1615">SUM(J83:K83)</f>
        <v>0</v>
      </c>
      <c r="M83" s="66"/>
      <c r="N83" s="67">
        <f t="shared" ref="N83" si="1616">M83*$F$63</f>
        <v>0</v>
      </c>
      <c r="O83" s="67">
        <f t="shared" ref="O83" si="1617">M83*$G$63</f>
        <v>0</v>
      </c>
      <c r="P83" s="45">
        <f t="shared" ref="P83:P98" si="1618">SUM(N83:O83)</f>
        <v>0</v>
      </c>
      <c r="Q83" s="66"/>
      <c r="R83" s="67">
        <f t="shared" ref="R83" si="1619">Q83*$F$63</f>
        <v>0</v>
      </c>
      <c r="S83" s="67">
        <f t="shared" ref="S83" si="1620">Q83*$G$63</f>
        <v>0</v>
      </c>
      <c r="T83" s="45">
        <f t="shared" ref="T83:T98" si="1621">SUM(R83:S83)</f>
        <v>0</v>
      </c>
      <c r="U83" s="66"/>
      <c r="V83" s="67">
        <f t="shared" ref="V83" si="1622">U83*$F$63</f>
        <v>0</v>
      </c>
      <c r="W83" s="67">
        <f t="shared" ref="W83" si="1623">U83*$G$63</f>
        <v>0</v>
      </c>
      <c r="X83" s="45">
        <f t="shared" ref="X83:X98" si="1624">SUM(V83:W83)</f>
        <v>0</v>
      </c>
      <c r="Y83" s="66"/>
      <c r="Z83" s="67">
        <f t="shared" ref="Z83" si="1625">Y83*$F$63</f>
        <v>0</v>
      </c>
      <c r="AA83" s="67">
        <f t="shared" ref="AA83" si="1626">Y83*$G$63</f>
        <v>0</v>
      </c>
      <c r="AB83" s="45">
        <f t="shared" ref="AB83:AB98" si="1627">SUM(Z83:AA83)</f>
        <v>0</v>
      </c>
      <c r="AC83" s="66"/>
      <c r="AD83" s="67">
        <f t="shared" ref="AD83" si="1628">AC83*$F$63</f>
        <v>0</v>
      </c>
      <c r="AE83" s="67">
        <f t="shared" ref="AE83" si="1629">AC83*$G$63</f>
        <v>0</v>
      </c>
      <c r="AF83" s="45">
        <f t="shared" ref="AF83:AF98" si="1630">SUM(AD83:AE83)</f>
        <v>0</v>
      </c>
      <c r="AG83" s="66"/>
      <c r="AH83" s="67">
        <f t="shared" ref="AH83" si="1631">AG83*$F$63</f>
        <v>0</v>
      </c>
      <c r="AI83" s="67">
        <f t="shared" ref="AI83" si="1632">AG83*$G$63</f>
        <v>0</v>
      </c>
      <c r="AJ83" s="45">
        <f t="shared" ref="AJ83:AJ98" si="1633">SUM(AH83:AI83)</f>
        <v>0</v>
      </c>
      <c r="AK83" s="66"/>
      <c r="AL83" s="67">
        <f t="shared" ref="AL83" si="1634">AK83*$F$63</f>
        <v>0</v>
      </c>
      <c r="AM83" s="67">
        <f t="shared" ref="AM83" si="1635">AK83*$G$63</f>
        <v>0</v>
      </c>
      <c r="AN83" s="45">
        <f t="shared" ref="AN83:AN98" si="1636">SUM(AL83:AM83)</f>
        <v>0</v>
      </c>
      <c r="AO83" s="66"/>
      <c r="AP83" s="67">
        <f t="shared" ref="AP83" si="1637">AO83*$F$63</f>
        <v>0</v>
      </c>
      <c r="AQ83" s="67">
        <f t="shared" ref="AQ83" si="1638">AO83*$G$63</f>
        <v>0</v>
      </c>
      <c r="AR83" s="45">
        <f t="shared" ref="AR83:AR98" si="1639">SUM(AP83:AQ83)</f>
        <v>0</v>
      </c>
      <c r="AS83" s="66"/>
      <c r="AT83" s="67">
        <f t="shared" ref="AT83" si="1640">AS83*$F$63</f>
        <v>0</v>
      </c>
      <c r="AU83" s="67">
        <f t="shared" ref="AU83" si="1641">AS83*$G$63</f>
        <v>0</v>
      </c>
      <c r="AV83" s="45">
        <f t="shared" ref="AV83:AV98" si="1642">SUM(AT83:AU83)</f>
        <v>0</v>
      </c>
      <c r="AW83" s="66"/>
      <c r="AX83" s="67">
        <f t="shared" ref="AX83" si="1643">AW83*$F$63</f>
        <v>0</v>
      </c>
      <c r="AY83" s="67">
        <f t="shared" ref="AY83" si="1644">AW83*$G$63</f>
        <v>0</v>
      </c>
      <c r="AZ83" s="45">
        <f t="shared" ref="AZ83:AZ98" si="1645">SUM(AX83:AY83)</f>
        <v>0</v>
      </c>
      <c r="BA83" s="66"/>
      <c r="BB83" s="67">
        <f t="shared" ref="BB83" si="1646">BA83*$F$63</f>
        <v>0</v>
      </c>
      <c r="BC83" s="67"/>
      <c r="BD83" s="45">
        <f t="shared" ref="BD83:BD98" si="1647">SUM(BB83:BC83)</f>
        <v>0</v>
      </c>
      <c r="BE83" s="66"/>
      <c r="BF83" s="44">
        <f t="shared" ref="BF83:BF98" si="1648">F83*BE83</f>
        <v>0</v>
      </c>
      <c r="BG83" s="44">
        <f t="shared" ref="BG83:BG84" si="1649">G83*BE83</f>
        <v>0</v>
      </c>
      <c r="BH83" s="45">
        <f t="shared" ref="BH83:BH98" si="1650">BG83+BF83</f>
        <v>0</v>
      </c>
      <c r="BI83" s="66"/>
      <c r="BJ83" s="44">
        <f t="shared" ref="BJ83:BJ98" si="1651">BI83*F83</f>
        <v>0</v>
      </c>
      <c r="BK83" s="44"/>
      <c r="BL83" s="45">
        <f t="shared" ref="BL83:BL98" si="1652">BK83+BJ83</f>
        <v>0</v>
      </c>
      <c r="BM83" s="66"/>
      <c r="BN83" s="67">
        <f t="shared" ref="BN83:BN98" si="1653">BM83*F83</f>
        <v>0</v>
      </c>
      <c r="BO83" s="67"/>
      <c r="BP83" s="45">
        <f t="shared" ref="BP83:BP98" si="1654">BO83+BN83</f>
        <v>0</v>
      </c>
      <c r="BQ83" s="66"/>
      <c r="BR83" s="44">
        <f t="shared" ref="BR83:BR98" si="1655">BQ83*F83</f>
        <v>0</v>
      </c>
      <c r="BS83" s="67"/>
      <c r="BT83" s="45">
        <f t="shared" ref="BT83:BT98" si="1656">BS83+BR83</f>
        <v>0</v>
      </c>
      <c r="BU83" s="66"/>
      <c r="BV83" s="44">
        <f t="shared" ref="BV83:BV98" si="1657">F83*BU83</f>
        <v>0</v>
      </c>
      <c r="BW83" s="67"/>
      <c r="BX83" s="45">
        <f t="shared" ref="BX83:BX98" si="1658">BW83+BV83</f>
        <v>0</v>
      </c>
      <c r="BY83" s="66"/>
      <c r="BZ83" s="44">
        <f t="shared" ref="BZ83:BZ98" si="1659">BY83*J83</f>
        <v>0</v>
      </c>
      <c r="CA83" s="67"/>
      <c r="CB83" s="45">
        <f t="shared" ref="CB83:CB92" si="1660">CA83+BZ83</f>
        <v>0</v>
      </c>
      <c r="CC83" s="66"/>
      <c r="CD83" s="44">
        <f t="shared" ref="CD83:CD98" si="1661">CC83*N83</f>
        <v>0</v>
      </c>
      <c r="CE83" s="67"/>
      <c r="CF83" s="45">
        <f t="shared" ref="CF83:CF92" si="1662">CE83+CD83</f>
        <v>0</v>
      </c>
      <c r="CG83" s="136"/>
      <c r="CH83" s="91">
        <f t="shared" ref="CH83:CH98" si="1663">I83+M83+Q83+U83+Y83+AC83+AG83+AK83+AO83+BA83+BE83+BI83+BM83+BQ83+BU83+BY83+CC83</f>
        <v>0</v>
      </c>
      <c r="CI83" s="47">
        <f t="shared" ref="CI83:CI98" si="1664">CH83*F83</f>
        <v>0</v>
      </c>
      <c r="CJ83" s="47">
        <f t="shared" ref="CJ83:CJ98" si="1665">CH83*G83</f>
        <v>0</v>
      </c>
      <c r="CK83" s="48">
        <f t="shared" ref="CK83" si="1666">SUM(CI83:CJ83)</f>
        <v>0</v>
      </c>
      <c r="CL83" s="49">
        <f t="shared" ref="CL83:CL98" si="1667">D83-CH83</f>
        <v>30</v>
      </c>
      <c r="CM83" s="50">
        <f t="shared" ref="CM83:CM98" si="1668">H83-CK83</f>
        <v>40000</v>
      </c>
      <c r="CO83" s="65"/>
      <c r="CP83" s="65"/>
    </row>
    <row r="84" spans="1:94" ht="26.25" customHeight="1" x14ac:dyDescent="0.25">
      <c r="A84" s="32"/>
      <c r="B84" s="74">
        <v>66</v>
      </c>
      <c r="C84" s="113" t="s">
        <v>37</v>
      </c>
      <c r="D84" s="112">
        <v>30</v>
      </c>
      <c r="E84" s="130">
        <f t="shared" ref="E84:E98" si="1669">D84-I84-M84-Q84-U84-Y84-AC84-AK84-AO84-AS84-AW84-BA84-BE84-BI84</f>
        <v>30</v>
      </c>
      <c r="F84" s="44">
        <f t="shared" ref="F84:F87" si="1670">H84/D84</f>
        <v>1333.3333333333333</v>
      </c>
      <c r="G84" s="116"/>
      <c r="H84" s="45">
        <f>H82*0.04</f>
        <v>40000</v>
      </c>
      <c r="I84" s="66"/>
      <c r="J84" s="67">
        <f t="shared" ref="J84:J98" si="1671">I84*F84</f>
        <v>0</v>
      </c>
      <c r="K84" s="67">
        <f>I84*$G$64</f>
        <v>0</v>
      </c>
      <c r="L84" s="45">
        <f>SUM(J84:K84)</f>
        <v>0</v>
      </c>
      <c r="M84" s="66"/>
      <c r="N84" s="67">
        <f t="shared" ref="N84" si="1672">M84*$F$64</f>
        <v>0</v>
      </c>
      <c r="O84" s="67">
        <f t="shared" ref="O84" si="1673">M84*$G$64</f>
        <v>0</v>
      </c>
      <c r="P84" s="45">
        <f t="shared" si="1618"/>
        <v>0</v>
      </c>
      <c r="Q84" s="66"/>
      <c r="R84" s="67">
        <f t="shared" ref="R84" si="1674">Q84*$F$64</f>
        <v>0</v>
      </c>
      <c r="S84" s="67">
        <f t="shared" ref="S84" si="1675">Q84*$G$64</f>
        <v>0</v>
      </c>
      <c r="T84" s="45">
        <f t="shared" si="1621"/>
        <v>0</v>
      </c>
      <c r="U84" s="66"/>
      <c r="V84" s="67">
        <f t="shared" ref="V84" si="1676">U84*$F$64</f>
        <v>0</v>
      </c>
      <c r="W84" s="67">
        <f t="shared" ref="W84" si="1677">U84*$G$64</f>
        <v>0</v>
      </c>
      <c r="X84" s="45">
        <f t="shared" si="1624"/>
        <v>0</v>
      </c>
      <c r="Y84" s="66"/>
      <c r="Z84" s="67">
        <f t="shared" ref="Z84" si="1678">Y84*$F$64</f>
        <v>0</v>
      </c>
      <c r="AA84" s="67">
        <f t="shared" ref="AA84" si="1679">Y84*$G$64</f>
        <v>0</v>
      </c>
      <c r="AB84" s="45">
        <f t="shared" si="1627"/>
        <v>0</v>
      </c>
      <c r="AC84" s="66"/>
      <c r="AD84" s="67">
        <f t="shared" ref="AD84" si="1680">AC84*$F$64</f>
        <v>0</v>
      </c>
      <c r="AE84" s="67">
        <f t="shared" ref="AE84" si="1681">AC84*$G$64</f>
        <v>0</v>
      </c>
      <c r="AF84" s="45">
        <f t="shared" si="1630"/>
        <v>0</v>
      </c>
      <c r="AG84" s="66"/>
      <c r="AH84" s="67">
        <f t="shared" ref="AH84" si="1682">AG84*$F$64</f>
        <v>0</v>
      </c>
      <c r="AI84" s="67">
        <f t="shared" ref="AI84" si="1683">AG84*$G$64</f>
        <v>0</v>
      </c>
      <c r="AJ84" s="45">
        <f t="shared" si="1633"/>
        <v>0</v>
      </c>
      <c r="AK84" s="66"/>
      <c r="AL84" s="67">
        <f t="shared" ref="AL84" si="1684">AK84*$F$64</f>
        <v>0</v>
      </c>
      <c r="AM84" s="67">
        <f t="shared" ref="AM84" si="1685">AK84*$G$64</f>
        <v>0</v>
      </c>
      <c r="AN84" s="45">
        <f t="shared" si="1636"/>
        <v>0</v>
      </c>
      <c r="AO84" s="66"/>
      <c r="AP84" s="67">
        <f t="shared" ref="AP84" si="1686">AO84*$F$64</f>
        <v>0</v>
      </c>
      <c r="AQ84" s="67">
        <f t="shared" ref="AQ84" si="1687">AO84*$G$64</f>
        <v>0</v>
      </c>
      <c r="AR84" s="45">
        <f t="shared" si="1639"/>
        <v>0</v>
      </c>
      <c r="AS84" s="66"/>
      <c r="AT84" s="67">
        <f t="shared" ref="AT84" si="1688">AS84*$F$64</f>
        <v>0</v>
      </c>
      <c r="AU84" s="67">
        <f t="shared" ref="AU84" si="1689">AS84*$G$64</f>
        <v>0</v>
      </c>
      <c r="AV84" s="45">
        <f t="shared" si="1642"/>
        <v>0</v>
      </c>
      <c r="AW84" s="66"/>
      <c r="AX84" s="67">
        <f t="shared" ref="AX84" si="1690">AW84*$F$64</f>
        <v>0</v>
      </c>
      <c r="AY84" s="67">
        <f t="shared" ref="AY84" si="1691">AW84*$G$64</f>
        <v>0</v>
      </c>
      <c r="AZ84" s="45">
        <f t="shared" si="1645"/>
        <v>0</v>
      </c>
      <c r="BA84" s="66"/>
      <c r="BB84" s="67">
        <f t="shared" ref="BB84" si="1692">BA84*$F$64</f>
        <v>0</v>
      </c>
      <c r="BC84" s="67"/>
      <c r="BD84" s="45">
        <f t="shared" si="1647"/>
        <v>0</v>
      </c>
      <c r="BE84" s="66"/>
      <c r="BF84" s="44">
        <f t="shared" si="1648"/>
        <v>0</v>
      </c>
      <c r="BG84" s="44">
        <f t="shared" si="1649"/>
        <v>0</v>
      </c>
      <c r="BH84" s="45">
        <f t="shared" si="1650"/>
        <v>0</v>
      </c>
      <c r="BI84" s="66"/>
      <c r="BJ84" s="44">
        <f t="shared" si="1651"/>
        <v>0</v>
      </c>
      <c r="BK84" s="44"/>
      <c r="BL84" s="45">
        <f t="shared" si="1652"/>
        <v>0</v>
      </c>
      <c r="BM84" s="66"/>
      <c r="BN84" s="67">
        <f t="shared" si="1653"/>
        <v>0</v>
      </c>
      <c r="BO84" s="67"/>
      <c r="BP84" s="45">
        <f t="shared" si="1654"/>
        <v>0</v>
      </c>
      <c r="BQ84" s="66"/>
      <c r="BR84" s="44">
        <f t="shared" si="1655"/>
        <v>0</v>
      </c>
      <c r="BS84" s="67"/>
      <c r="BT84" s="45">
        <f t="shared" si="1656"/>
        <v>0</v>
      </c>
      <c r="BU84" s="66"/>
      <c r="BV84" s="44">
        <f t="shared" si="1657"/>
        <v>0</v>
      </c>
      <c r="BW84" s="67"/>
      <c r="BX84" s="45">
        <f t="shared" si="1658"/>
        <v>0</v>
      </c>
      <c r="BY84" s="66"/>
      <c r="BZ84" s="44">
        <f t="shared" si="1659"/>
        <v>0</v>
      </c>
      <c r="CA84" s="67"/>
      <c r="CB84" s="45">
        <f t="shared" si="1660"/>
        <v>0</v>
      </c>
      <c r="CC84" s="66"/>
      <c r="CD84" s="44">
        <f t="shared" si="1661"/>
        <v>0</v>
      </c>
      <c r="CE84" s="67"/>
      <c r="CF84" s="45">
        <f t="shared" si="1662"/>
        <v>0</v>
      </c>
      <c r="CG84" s="136"/>
      <c r="CH84" s="91">
        <f t="shared" si="1663"/>
        <v>0</v>
      </c>
      <c r="CI84" s="47">
        <f t="shared" si="1664"/>
        <v>0</v>
      </c>
      <c r="CJ84" s="47">
        <f t="shared" si="1665"/>
        <v>0</v>
      </c>
      <c r="CK84" s="48">
        <f t="shared" ref="CK84:CK98" si="1693">SUM(CI84:CJ84)</f>
        <v>0</v>
      </c>
      <c r="CL84" s="49">
        <f t="shared" si="1667"/>
        <v>30</v>
      </c>
      <c r="CM84" s="50">
        <f t="shared" si="1668"/>
        <v>40000</v>
      </c>
      <c r="CO84" s="65"/>
      <c r="CP84" s="65"/>
    </row>
    <row r="85" spans="1:94" ht="26.25" customHeight="1" x14ac:dyDescent="0.25">
      <c r="A85" s="32"/>
      <c r="B85" s="74">
        <v>67</v>
      </c>
      <c r="C85" s="113" t="s">
        <v>38</v>
      </c>
      <c r="D85" s="112">
        <v>30</v>
      </c>
      <c r="E85" s="130">
        <f t="shared" si="1669"/>
        <v>30</v>
      </c>
      <c r="F85" s="44">
        <f t="shared" si="1670"/>
        <v>2000</v>
      </c>
      <c r="G85" s="116"/>
      <c r="H85" s="45">
        <f>H82*0.06</f>
        <v>60000</v>
      </c>
      <c r="I85" s="66"/>
      <c r="J85" s="67">
        <f t="shared" si="1671"/>
        <v>0</v>
      </c>
      <c r="K85" s="67">
        <f>I85*$G$65</f>
        <v>0</v>
      </c>
      <c r="L85" s="45">
        <f t="shared" ref="L85:L98" si="1694">SUM(J85:K85)</f>
        <v>0</v>
      </c>
      <c r="M85" s="66"/>
      <c r="N85" s="67">
        <f t="shared" ref="N85" si="1695">M85*$F$65</f>
        <v>0</v>
      </c>
      <c r="O85" s="67">
        <f t="shared" ref="O85" si="1696">M85*$G$65</f>
        <v>0</v>
      </c>
      <c r="P85" s="45">
        <f t="shared" si="1618"/>
        <v>0</v>
      </c>
      <c r="Q85" s="66"/>
      <c r="R85" s="67">
        <f t="shared" ref="R85" si="1697">Q85*$F$65</f>
        <v>0</v>
      </c>
      <c r="S85" s="67">
        <f t="shared" ref="S85" si="1698">Q85*$G$65</f>
        <v>0</v>
      </c>
      <c r="T85" s="45">
        <f t="shared" si="1621"/>
        <v>0</v>
      </c>
      <c r="U85" s="66"/>
      <c r="V85" s="67">
        <f t="shared" ref="V85" si="1699">U85*$F$65</f>
        <v>0</v>
      </c>
      <c r="W85" s="67">
        <f t="shared" ref="W85" si="1700">U85*$G$65</f>
        <v>0</v>
      </c>
      <c r="X85" s="45">
        <f t="shared" si="1624"/>
        <v>0</v>
      </c>
      <c r="Y85" s="66"/>
      <c r="Z85" s="67">
        <f t="shared" ref="Z85" si="1701">Y85*$F$65</f>
        <v>0</v>
      </c>
      <c r="AA85" s="67">
        <f t="shared" ref="AA85" si="1702">Y85*$G$65</f>
        <v>0</v>
      </c>
      <c r="AB85" s="45">
        <f t="shared" si="1627"/>
        <v>0</v>
      </c>
      <c r="AC85" s="66"/>
      <c r="AD85" s="67">
        <f t="shared" ref="AD85" si="1703">AC85*$F$65</f>
        <v>0</v>
      </c>
      <c r="AE85" s="67">
        <f t="shared" ref="AE85" si="1704">AC85*$G$65</f>
        <v>0</v>
      </c>
      <c r="AF85" s="45">
        <f t="shared" si="1630"/>
        <v>0</v>
      </c>
      <c r="AG85" s="66"/>
      <c r="AH85" s="67">
        <f t="shared" ref="AH85" si="1705">AG85*$F$65</f>
        <v>0</v>
      </c>
      <c r="AI85" s="67">
        <f t="shared" ref="AI85" si="1706">AG85*$G$65</f>
        <v>0</v>
      </c>
      <c r="AJ85" s="45">
        <f t="shared" si="1633"/>
        <v>0</v>
      </c>
      <c r="AK85" s="66"/>
      <c r="AL85" s="67">
        <f t="shared" ref="AL85" si="1707">AK85*$F$65</f>
        <v>0</v>
      </c>
      <c r="AM85" s="67">
        <f t="shared" ref="AM85" si="1708">AK85*$G$65</f>
        <v>0</v>
      </c>
      <c r="AN85" s="45">
        <f t="shared" si="1636"/>
        <v>0</v>
      </c>
      <c r="AO85" s="66"/>
      <c r="AP85" s="67">
        <f t="shared" ref="AP85" si="1709">AO85*$F$65</f>
        <v>0</v>
      </c>
      <c r="AQ85" s="67">
        <f t="shared" ref="AQ85" si="1710">AO85*$G$65</f>
        <v>0</v>
      </c>
      <c r="AR85" s="45">
        <f t="shared" si="1639"/>
        <v>0</v>
      </c>
      <c r="AS85" s="66"/>
      <c r="AT85" s="67">
        <f t="shared" ref="AT85" si="1711">AS85*$F$65</f>
        <v>0</v>
      </c>
      <c r="AU85" s="67">
        <f t="shared" ref="AU85" si="1712">AS85*$G$65</f>
        <v>0</v>
      </c>
      <c r="AV85" s="45">
        <f t="shared" si="1642"/>
        <v>0</v>
      </c>
      <c r="AW85" s="66"/>
      <c r="AX85" s="67">
        <f t="shared" ref="AX85" si="1713">AW85*$F$65</f>
        <v>0</v>
      </c>
      <c r="AY85" s="67">
        <f t="shared" ref="AY85" si="1714">AW85*$G$65</f>
        <v>0</v>
      </c>
      <c r="AZ85" s="45">
        <f t="shared" si="1645"/>
        <v>0</v>
      </c>
      <c r="BA85" s="66"/>
      <c r="BB85" s="67">
        <f t="shared" ref="BB85" si="1715">BA85*$F$65</f>
        <v>0</v>
      </c>
      <c r="BC85" s="67"/>
      <c r="BD85" s="45">
        <f t="shared" si="1647"/>
        <v>0</v>
      </c>
      <c r="BE85" s="66"/>
      <c r="BF85" s="44">
        <f t="shared" si="1648"/>
        <v>0</v>
      </c>
      <c r="BG85" s="44"/>
      <c r="BH85" s="45">
        <f t="shared" si="1650"/>
        <v>0</v>
      </c>
      <c r="BI85" s="66"/>
      <c r="BJ85" s="44">
        <f t="shared" si="1651"/>
        <v>0</v>
      </c>
      <c r="BK85" s="44"/>
      <c r="BL85" s="45">
        <f t="shared" si="1652"/>
        <v>0</v>
      </c>
      <c r="BM85" s="66"/>
      <c r="BN85" s="67">
        <f t="shared" si="1653"/>
        <v>0</v>
      </c>
      <c r="BO85" s="67"/>
      <c r="BP85" s="45">
        <f t="shared" si="1654"/>
        <v>0</v>
      </c>
      <c r="BQ85" s="66"/>
      <c r="BR85" s="44">
        <f t="shared" si="1655"/>
        <v>0</v>
      </c>
      <c r="BS85" s="67"/>
      <c r="BT85" s="45">
        <f t="shared" si="1656"/>
        <v>0</v>
      </c>
      <c r="BU85" s="66"/>
      <c r="BV85" s="44">
        <f t="shared" si="1657"/>
        <v>0</v>
      </c>
      <c r="BW85" s="67"/>
      <c r="BX85" s="45">
        <f t="shared" si="1658"/>
        <v>0</v>
      </c>
      <c r="BY85" s="66"/>
      <c r="BZ85" s="44">
        <f t="shared" si="1659"/>
        <v>0</v>
      </c>
      <c r="CA85" s="67"/>
      <c r="CB85" s="45">
        <f t="shared" si="1660"/>
        <v>0</v>
      </c>
      <c r="CC85" s="66"/>
      <c r="CD85" s="44">
        <f t="shared" si="1661"/>
        <v>0</v>
      </c>
      <c r="CE85" s="67"/>
      <c r="CF85" s="45">
        <f t="shared" si="1662"/>
        <v>0</v>
      </c>
      <c r="CG85" s="136"/>
      <c r="CH85" s="91">
        <f t="shared" si="1663"/>
        <v>0</v>
      </c>
      <c r="CI85" s="47">
        <f t="shared" si="1664"/>
        <v>0</v>
      </c>
      <c r="CJ85" s="47">
        <f t="shared" si="1665"/>
        <v>0</v>
      </c>
      <c r="CK85" s="48">
        <f t="shared" si="1693"/>
        <v>0</v>
      </c>
      <c r="CL85" s="49">
        <f t="shared" si="1667"/>
        <v>30</v>
      </c>
      <c r="CM85" s="50">
        <f t="shared" si="1668"/>
        <v>60000</v>
      </c>
      <c r="CO85" s="65"/>
      <c r="CP85" s="65"/>
    </row>
    <row r="86" spans="1:94" ht="26.25" customHeight="1" x14ac:dyDescent="0.25">
      <c r="A86" s="32"/>
      <c r="B86" s="74">
        <v>68</v>
      </c>
      <c r="C86" s="113" t="s">
        <v>39</v>
      </c>
      <c r="D86" s="112">
        <v>30</v>
      </c>
      <c r="E86" s="130">
        <f t="shared" si="1669"/>
        <v>30</v>
      </c>
      <c r="F86" s="44">
        <f t="shared" si="1670"/>
        <v>2000</v>
      </c>
      <c r="G86" s="116"/>
      <c r="H86" s="45">
        <f>H82*0.06</f>
        <v>60000</v>
      </c>
      <c r="I86" s="66"/>
      <c r="J86" s="67">
        <f t="shared" si="1671"/>
        <v>0</v>
      </c>
      <c r="K86" s="67">
        <f>I86*$G$66</f>
        <v>0</v>
      </c>
      <c r="L86" s="45">
        <f t="shared" si="1694"/>
        <v>0</v>
      </c>
      <c r="M86" s="66"/>
      <c r="N86" s="67">
        <f t="shared" ref="N86" si="1716">M86*$F$66</f>
        <v>0</v>
      </c>
      <c r="O86" s="67">
        <f t="shared" ref="O86" si="1717">M86*$G$66</f>
        <v>0</v>
      </c>
      <c r="P86" s="45">
        <f t="shared" si="1618"/>
        <v>0</v>
      </c>
      <c r="Q86" s="66"/>
      <c r="R86" s="67">
        <f t="shared" ref="R86" si="1718">Q86*$F$66</f>
        <v>0</v>
      </c>
      <c r="S86" s="67">
        <f t="shared" ref="S86" si="1719">Q86*$G$66</f>
        <v>0</v>
      </c>
      <c r="T86" s="45">
        <f t="shared" si="1621"/>
        <v>0</v>
      </c>
      <c r="U86" s="66"/>
      <c r="V86" s="67">
        <f t="shared" ref="V86" si="1720">U86*$F$66</f>
        <v>0</v>
      </c>
      <c r="W86" s="67">
        <f t="shared" ref="W86" si="1721">U86*$G$66</f>
        <v>0</v>
      </c>
      <c r="X86" s="45">
        <f t="shared" si="1624"/>
        <v>0</v>
      </c>
      <c r="Y86" s="66"/>
      <c r="Z86" s="67">
        <f t="shared" ref="Z86" si="1722">Y86*$F$66</f>
        <v>0</v>
      </c>
      <c r="AA86" s="67">
        <f t="shared" ref="AA86" si="1723">Y86*$G$66</f>
        <v>0</v>
      </c>
      <c r="AB86" s="45">
        <f t="shared" si="1627"/>
        <v>0</v>
      </c>
      <c r="AC86" s="66"/>
      <c r="AD86" s="67">
        <f t="shared" ref="AD86" si="1724">AC86*$F$66</f>
        <v>0</v>
      </c>
      <c r="AE86" s="67">
        <f t="shared" ref="AE86" si="1725">AC86*$G$66</f>
        <v>0</v>
      </c>
      <c r="AF86" s="45">
        <f t="shared" si="1630"/>
        <v>0</v>
      </c>
      <c r="AG86" s="66"/>
      <c r="AH86" s="67">
        <f t="shared" ref="AH86" si="1726">AG86*$F$66</f>
        <v>0</v>
      </c>
      <c r="AI86" s="67">
        <f t="shared" ref="AI86" si="1727">AG86*$G$66</f>
        <v>0</v>
      </c>
      <c r="AJ86" s="45">
        <f t="shared" si="1633"/>
        <v>0</v>
      </c>
      <c r="AK86" s="66"/>
      <c r="AL86" s="67">
        <f t="shared" ref="AL86" si="1728">AK86*$F$66</f>
        <v>0</v>
      </c>
      <c r="AM86" s="67">
        <f t="shared" ref="AM86" si="1729">AK86*$G$66</f>
        <v>0</v>
      </c>
      <c r="AN86" s="45">
        <f t="shared" si="1636"/>
        <v>0</v>
      </c>
      <c r="AO86" s="66"/>
      <c r="AP86" s="67">
        <f t="shared" ref="AP86" si="1730">AO86*$F$66</f>
        <v>0</v>
      </c>
      <c r="AQ86" s="67">
        <f t="shared" ref="AQ86" si="1731">AO86*$G$66</f>
        <v>0</v>
      </c>
      <c r="AR86" s="45">
        <f t="shared" si="1639"/>
        <v>0</v>
      </c>
      <c r="AS86" s="66"/>
      <c r="AT86" s="67">
        <f t="shared" ref="AT86" si="1732">AS86*$F$66</f>
        <v>0</v>
      </c>
      <c r="AU86" s="67">
        <f t="shared" ref="AU86" si="1733">AS86*$G$66</f>
        <v>0</v>
      </c>
      <c r="AV86" s="45">
        <f t="shared" si="1642"/>
        <v>0</v>
      </c>
      <c r="AW86" s="66"/>
      <c r="AX86" s="67">
        <f t="shared" ref="AX86" si="1734">AW86*$F$66</f>
        <v>0</v>
      </c>
      <c r="AY86" s="67">
        <f t="shared" ref="AY86" si="1735">AW86*$G$66</f>
        <v>0</v>
      </c>
      <c r="AZ86" s="45">
        <f t="shared" si="1645"/>
        <v>0</v>
      </c>
      <c r="BA86" s="66"/>
      <c r="BB86" s="67">
        <f t="shared" ref="BB86" si="1736">BA86*$F$66</f>
        <v>0</v>
      </c>
      <c r="BC86" s="67"/>
      <c r="BD86" s="45">
        <f t="shared" si="1647"/>
        <v>0</v>
      </c>
      <c r="BE86" s="66"/>
      <c r="BF86" s="44">
        <f t="shared" si="1648"/>
        <v>0</v>
      </c>
      <c r="BG86" s="44"/>
      <c r="BH86" s="45">
        <f t="shared" si="1650"/>
        <v>0</v>
      </c>
      <c r="BI86" s="66"/>
      <c r="BJ86" s="44">
        <f t="shared" si="1651"/>
        <v>0</v>
      </c>
      <c r="BK86" s="44"/>
      <c r="BL86" s="45">
        <f t="shared" si="1652"/>
        <v>0</v>
      </c>
      <c r="BM86" s="66"/>
      <c r="BN86" s="67">
        <f t="shared" si="1653"/>
        <v>0</v>
      </c>
      <c r="BO86" s="67"/>
      <c r="BP86" s="45">
        <f t="shared" si="1654"/>
        <v>0</v>
      </c>
      <c r="BQ86" s="66"/>
      <c r="BR86" s="44">
        <f t="shared" si="1655"/>
        <v>0</v>
      </c>
      <c r="BS86" s="67"/>
      <c r="BT86" s="45">
        <f t="shared" si="1656"/>
        <v>0</v>
      </c>
      <c r="BU86" s="66"/>
      <c r="BV86" s="44">
        <f t="shared" si="1657"/>
        <v>0</v>
      </c>
      <c r="BW86" s="67"/>
      <c r="BX86" s="45">
        <f t="shared" si="1658"/>
        <v>0</v>
      </c>
      <c r="BY86" s="66"/>
      <c r="BZ86" s="44">
        <f t="shared" si="1659"/>
        <v>0</v>
      </c>
      <c r="CA86" s="67"/>
      <c r="CB86" s="45">
        <f t="shared" si="1660"/>
        <v>0</v>
      </c>
      <c r="CC86" s="66"/>
      <c r="CD86" s="44">
        <f t="shared" si="1661"/>
        <v>0</v>
      </c>
      <c r="CE86" s="67"/>
      <c r="CF86" s="45">
        <f t="shared" si="1662"/>
        <v>0</v>
      </c>
      <c r="CG86" s="136"/>
      <c r="CH86" s="91">
        <f t="shared" si="1663"/>
        <v>0</v>
      </c>
      <c r="CI86" s="47">
        <f t="shared" si="1664"/>
        <v>0</v>
      </c>
      <c r="CJ86" s="47">
        <f t="shared" si="1665"/>
        <v>0</v>
      </c>
      <c r="CK86" s="48">
        <f t="shared" si="1693"/>
        <v>0</v>
      </c>
      <c r="CL86" s="49">
        <f t="shared" si="1667"/>
        <v>30</v>
      </c>
      <c r="CM86" s="50">
        <f t="shared" si="1668"/>
        <v>60000</v>
      </c>
      <c r="CO86" s="65"/>
      <c r="CP86" s="65"/>
    </row>
    <row r="87" spans="1:94" ht="26.25" customHeight="1" x14ac:dyDescent="0.25">
      <c r="A87" s="32"/>
      <c r="B87" s="74">
        <v>69</v>
      </c>
      <c r="C87" s="113" t="s">
        <v>57</v>
      </c>
      <c r="D87" s="112">
        <v>30</v>
      </c>
      <c r="E87" s="130">
        <f t="shared" si="1669"/>
        <v>30</v>
      </c>
      <c r="F87" s="44">
        <f t="shared" si="1670"/>
        <v>1666.6666666666667</v>
      </c>
      <c r="G87" s="116"/>
      <c r="H87" s="45">
        <f>H82*0.05</f>
        <v>50000</v>
      </c>
      <c r="I87" s="66"/>
      <c r="J87" s="67">
        <f t="shared" si="1671"/>
        <v>0</v>
      </c>
      <c r="K87" s="67">
        <f>I87*$G$67</f>
        <v>0</v>
      </c>
      <c r="L87" s="45">
        <f t="shared" si="1694"/>
        <v>0</v>
      </c>
      <c r="M87" s="66"/>
      <c r="N87" s="67">
        <f t="shared" ref="N87" si="1737">M87*$F$67</f>
        <v>0</v>
      </c>
      <c r="O87" s="67">
        <f t="shared" ref="O87" si="1738">M87*$G$67</f>
        <v>0</v>
      </c>
      <c r="P87" s="45">
        <f t="shared" si="1618"/>
        <v>0</v>
      </c>
      <c r="Q87" s="66"/>
      <c r="R87" s="67">
        <f t="shared" ref="R87" si="1739">Q87*$F$67</f>
        <v>0</v>
      </c>
      <c r="S87" s="67">
        <f t="shared" ref="S87" si="1740">Q87*$G$67</f>
        <v>0</v>
      </c>
      <c r="T87" s="45">
        <f t="shared" si="1621"/>
        <v>0</v>
      </c>
      <c r="U87" s="66"/>
      <c r="V87" s="67">
        <f t="shared" ref="V87" si="1741">U87*$F$67</f>
        <v>0</v>
      </c>
      <c r="W87" s="67">
        <f t="shared" ref="W87" si="1742">U87*$G$67</f>
        <v>0</v>
      </c>
      <c r="X87" s="45">
        <f t="shared" si="1624"/>
        <v>0</v>
      </c>
      <c r="Y87" s="66"/>
      <c r="Z87" s="67">
        <f t="shared" ref="Z87" si="1743">Y87*$F$67</f>
        <v>0</v>
      </c>
      <c r="AA87" s="67">
        <f t="shared" ref="AA87" si="1744">Y87*$G$67</f>
        <v>0</v>
      </c>
      <c r="AB87" s="45">
        <f t="shared" si="1627"/>
        <v>0</v>
      </c>
      <c r="AC87" s="66"/>
      <c r="AD87" s="67">
        <f t="shared" ref="AD87" si="1745">AC87*$F$67</f>
        <v>0</v>
      </c>
      <c r="AE87" s="67">
        <f t="shared" ref="AE87" si="1746">AC87*$G$67</f>
        <v>0</v>
      </c>
      <c r="AF87" s="45">
        <f t="shared" si="1630"/>
        <v>0</v>
      </c>
      <c r="AG87" s="66"/>
      <c r="AH87" s="67">
        <f t="shared" ref="AH87" si="1747">AG87*$F$67</f>
        <v>0</v>
      </c>
      <c r="AI87" s="67">
        <f t="shared" ref="AI87" si="1748">AG87*$G$67</f>
        <v>0</v>
      </c>
      <c r="AJ87" s="45">
        <f t="shared" si="1633"/>
        <v>0</v>
      </c>
      <c r="AK87" s="66"/>
      <c r="AL87" s="67">
        <f t="shared" ref="AL87" si="1749">AK87*$F$67</f>
        <v>0</v>
      </c>
      <c r="AM87" s="67">
        <f t="shared" ref="AM87" si="1750">AK87*$G$67</f>
        <v>0</v>
      </c>
      <c r="AN87" s="45">
        <f t="shared" si="1636"/>
        <v>0</v>
      </c>
      <c r="AO87" s="66"/>
      <c r="AP87" s="67">
        <f t="shared" ref="AP87" si="1751">AO87*$F$67</f>
        <v>0</v>
      </c>
      <c r="AQ87" s="67">
        <f t="shared" ref="AQ87" si="1752">AO87*$G$67</f>
        <v>0</v>
      </c>
      <c r="AR87" s="45">
        <f t="shared" si="1639"/>
        <v>0</v>
      </c>
      <c r="AS87" s="66"/>
      <c r="AT87" s="67">
        <f t="shared" ref="AT87" si="1753">AS87*$F$67</f>
        <v>0</v>
      </c>
      <c r="AU87" s="67">
        <f t="shared" ref="AU87" si="1754">AS87*$G$67</f>
        <v>0</v>
      </c>
      <c r="AV87" s="45">
        <f t="shared" si="1642"/>
        <v>0</v>
      </c>
      <c r="AW87" s="66"/>
      <c r="AX87" s="67">
        <f t="shared" ref="AX87" si="1755">AW87*$F$67</f>
        <v>0</v>
      </c>
      <c r="AY87" s="67">
        <f t="shared" ref="AY87" si="1756">AW87*$G$67</f>
        <v>0</v>
      </c>
      <c r="AZ87" s="45">
        <f t="shared" si="1645"/>
        <v>0</v>
      </c>
      <c r="BA87" s="66"/>
      <c r="BB87" s="67">
        <f t="shared" ref="BB87" si="1757">BA87*$F$67</f>
        <v>0</v>
      </c>
      <c r="BC87" s="67"/>
      <c r="BD87" s="45">
        <f t="shared" si="1647"/>
        <v>0</v>
      </c>
      <c r="BE87" s="66"/>
      <c r="BF87" s="44">
        <f t="shared" si="1648"/>
        <v>0</v>
      </c>
      <c r="BG87" s="44"/>
      <c r="BH87" s="45">
        <f t="shared" si="1650"/>
        <v>0</v>
      </c>
      <c r="BI87" s="66"/>
      <c r="BJ87" s="44">
        <f t="shared" si="1651"/>
        <v>0</v>
      </c>
      <c r="BK87" s="44"/>
      <c r="BL87" s="45">
        <f t="shared" si="1652"/>
        <v>0</v>
      </c>
      <c r="BM87" s="66"/>
      <c r="BN87" s="67">
        <f t="shared" si="1653"/>
        <v>0</v>
      </c>
      <c r="BO87" s="67"/>
      <c r="BP87" s="45">
        <f t="shared" si="1654"/>
        <v>0</v>
      </c>
      <c r="BQ87" s="66"/>
      <c r="BR87" s="44">
        <f t="shared" si="1655"/>
        <v>0</v>
      </c>
      <c r="BS87" s="67"/>
      <c r="BT87" s="45">
        <f t="shared" si="1656"/>
        <v>0</v>
      </c>
      <c r="BU87" s="66"/>
      <c r="BV87" s="44">
        <f t="shared" si="1657"/>
        <v>0</v>
      </c>
      <c r="BW87" s="67"/>
      <c r="BX87" s="45">
        <f t="shared" si="1658"/>
        <v>0</v>
      </c>
      <c r="BY87" s="66"/>
      <c r="BZ87" s="44">
        <f t="shared" si="1659"/>
        <v>0</v>
      </c>
      <c r="CA87" s="67"/>
      <c r="CB87" s="45">
        <f t="shared" si="1660"/>
        <v>0</v>
      </c>
      <c r="CC87" s="66"/>
      <c r="CD87" s="44">
        <f t="shared" si="1661"/>
        <v>0</v>
      </c>
      <c r="CE87" s="67"/>
      <c r="CF87" s="45">
        <f t="shared" si="1662"/>
        <v>0</v>
      </c>
      <c r="CG87" s="136"/>
      <c r="CH87" s="91">
        <f t="shared" si="1663"/>
        <v>0</v>
      </c>
      <c r="CI87" s="47">
        <f t="shared" si="1664"/>
        <v>0</v>
      </c>
      <c r="CJ87" s="47">
        <f t="shared" si="1665"/>
        <v>0</v>
      </c>
      <c r="CK87" s="48">
        <f t="shared" si="1693"/>
        <v>0</v>
      </c>
      <c r="CL87" s="49">
        <f t="shared" si="1667"/>
        <v>30</v>
      </c>
      <c r="CM87" s="50">
        <f t="shared" si="1668"/>
        <v>50000</v>
      </c>
      <c r="CO87" s="65"/>
      <c r="CP87" s="65"/>
    </row>
    <row r="88" spans="1:94" ht="26.25" customHeight="1" x14ac:dyDescent="0.25">
      <c r="A88" s="32"/>
      <c r="B88" s="74">
        <v>70</v>
      </c>
      <c r="C88" s="113" t="s">
        <v>58</v>
      </c>
      <c r="D88" s="112">
        <v>30</v>
      </c>
      <c r="E88" s="130">
        <f t="shared" si="1669"/>
        <v>30</v>
      </c>
      <c r="F88" s="44">
        <f>H88/D88</f>
        <v>3666.6666666666665</v>
      </c>
      <c r="G88" s="116"/>
      <c r="H88" s="45">
        <f>H82*0.11</f>
        <v>110000</v>
      </c>
      <c r="I88" s="66"/>
      <c r="J88" s="67">
        <f t="shared" si="1671"/>
        <v>0</v>
      </c>
      <c r="K88" s="67">
        <f>I88*$G$68</f>
        <v>0</v>
      </c>
      <c r="L88" s="45">
        <f t="shared" si="1694"/>
        <v>0</v>
      </c>
      <c r="M88" s="66"/>
      <c r="N88" s="67">
        <f t="shared" ref="N88" si="1758">M88*$F$68</f>
        <v>0</v>
      </c>
      <c r="O88" s="67">
        <f t="shared" ref="O88" si="1759">M88*$G$68</f>
        <v>0</v>
      </c>
      <c r="P88" s="45">
        <f t="shared" si="1618"/>
        <v>0</v>
      </c>
      <c r="Q88" s="66"/>
      <c r="R88" s="67">
        <f t="shared" ref="R88" si="1760">Q88*$F$68</f>
        <v>0</v>
      </c>
      <c r="S88" s="67">
        <f t="shared" ref="S88" si="1761">Q88*$G$68</f>
        <v>0</v>
      </c>
      <c r="T88" s="45">
        <f t="shared" si="1621"/>
        <v>0</v>
      </c>
      <c r="U88" s="66"/>
      <c r="V88" s="67">
        <f t="shared" ref="V88" si="1762">U88*$F$68</f>
        <v>0</v>
      </c>
      <c r="W88" s="67">
        <f t="shared" ref="W88" si="1763">U88*$G$68</f>
        <v>0</v>
      </c>
      <c r="X88" s="45">
        <f t="shared" si="1624"/>
        <v>0</v>
      </c>
      <c r="Y88" s="66"/>
      <c r="Z88" s="67">
        <f t="shared" ref="Z88" si="1764">Y88*$F$68</f>
        <v>0</v>
      </c>
      <c r="AA88" s="67">
        <f t="shared" ref="AA88" si="1765">Y88*$G$68</f>
        <v>0</v>
      </c>
      <c r="AB88" s="45">
        <f t="shared" si="1627"/>
        <v>0</v>
      </c>
      <c r="AC88" s="66"/>
      <c r="AD88" s="67">
        <f t="shared" ref="AD88" si="1766">AC88*$F$68</f>
        <v>0</v>
      </c>
      <c r="AE88" s="67">
        <f t="shared" ref="AE88" si="1767">AC88*$G$68</f>
        <v>0</v>
      </c>
      <c r="AF88" s="45">
        <f t="shared" si="1630"/>
        <v>0</v>
      </c>
      <c r="AG88" s="66"/>
      <c r="AH88" s="67">
        <f t="shared" ref="AH88" si="1768">AG88*$F$68</f>
        <v>0</v>
      </c>
      <c r="AI88" s="67">
        <f t="shared" ref="AI88" si="1769">AG88*$G$68</f>
        <v>0</v>
      </c>
      <c r="AJ88" s="45">
        <f t="shared" si="1633"/>
        <v>0</v>
      </c>
      <c r="AK88" s="66"/>
      <c r="AL88" s="67">
        <f t="shared" ref="AL88" si="1770">AK88*$F$68</f>
        <v>0</v>
      </c>
      <c r="AM88" s="67">
        <f t="shared" ref="AM88" si="1771">AK88*$G$68</f>
        <v>0</v>
      </c>
      <c r="AN88" s="45">
        <f t="shared" si="1636"/>
        <v>0</v>
      </c>
      <c r="AO88" s="66"/>
      <c r="AP88" s="67">
        <f t="shared" ref="AP88" si="1772">AO88*$F$68</f>
        <v>0</v>
      </c>
      <c r="AQ88" s="67">
        <f t="shared" ref="AQ88" si="1773">AO88*$G$68</f>
        <v>0</v>
      </c>
      <c r="AR88" s="45">
        <f t="shared" si="1639"/>
        <v>0</v>
      </c>
      <c r="AS88" s="66"/>
      <c r="AT88" s="67">
        <f t="shared" ref="AT88" si="1774">AS88*$F$68</f>
        <v>0</v>
      </c>
      <c r="AU88" s="67">
        <f t="shared" ref="AU88" si="1775">AS88*$G$68</f>
        <v>0</v>
      </c>
      <c r="AV88" s="45">
        <f t="shared" si="1642"/>
        <v>0</v>
      </c>
      <c r="AW88" s="66"/>
      <c r="AX88" s="67">
        <f t="shared" ref="AX88" si="1776">AW88*$F$68</f>
        <v>0</v>
      </c>
      <c r="AY88" s="67">
        <f t="shared" ref="AY88" si="1777">AW88*$G$68</f>
        <v>0</v>
      </c>
      <c r="AZ88" s="45">
        <f t="shared" si="1645"/>
        <v>0</v>
      </c>
      <c r="BA88" s="66"/>
      <c r="BB88" s="67">
        <f t="shared" ref="BB88" si="1778">BA88*$F$68</f>
        <v>0</v>
      </c>
      <c r="BC88" s="67"/>
      <c r="BD88" s="45">
        <f t="shared" si="1647"/>
        <v>0</v>
      </c>
      <c r="BE88" s="66"/>
      <c r="BF88" s="44">
        <f t="shared" si="1648"/>
        <v>0</v>
      </c>
      <c r="BG88" s="44"/>
      <c r="BH88" s="45">
        <f t="shared" si="1650"/>
        <v>0</v>
      </c>
      <c r="BI88" s="66"/>
      <c r="BJ88" s="44">
        <f t="shared" si="1651"/>
        <v>0</v>
      </c>
      <c r="BK88" s="44"/>
      <c r="BL88" s="45">
        <f t="shared" si="1652"/>
        <v>0</v>
      </c>
      <c r="BM88" s="66"/>
      <c r="BN88" s="67">
        <f t="shared" si="1653"/>
        <v>0</v>
      </c>
      <c r="BO88" s="67"/>
      <c r="BP88" s="45">
        <f t="shared" si="1654"/>
        <v>0</v>
      </c>
      <c r="BQ88" s="66"/>
      <c r="BR88" s="44">
        <f t="shared" si="1655"/>
        <v>0</v>
      </c>
      <c r="BS88" s="67"/>
      <c r="BT88" s="45">
        <f t="shared" si="1656"/>
        <v>0</v>
      </c>
      <c r="BU88" s="66"/>
      <c r="BV88" s="44">
        <f t="shared" si="1657"/>
        <v>0</v>
      </c>
      <c r="BW88" s="67"/>
      <c r="BX88" s="45">
        <f t="shared" si="1658"/>
        <v>0</v>
      </c>
      <c r="BY88" s="66"/>
      <c r="BZ88" s="44">
        <f t="shared" si="1659"/>
        <v>0</v>
      </c>
      <c r="CA88" s="67"/>
      <c r="CB88" s="45">
        <f t="shared" si="1660"/>
        <v>0</v>
      </c>
      <c r="CC88" s="66"/>
      <c r="CD88" s="44">
        <f t="shared" si="1661"/>
        <v>0</v>
      </c>
      <c r="CE88" s="67"/>
      <c r="CF88" s="45">
        <f t="shared" si="1662"/>
        <v>0</v>
      </c>
      <c r="CG88" s="136"/>
      <c r="CH88" s="91">
        <f t="shared" si="1663"/>
        <v>0</v>
      </c>
      <c r="CI88" s="47">
        <f t="shared" si="1664"/>
        <v>0</v>
      </c>
      <c r="CJ88" s="47">
        <f t="shared" si="1665"/>
        <v>0</v>
      </c>
      <c r="CK88" s="48">
        <f t="shared" si="1693"/>
        <v>0</v>
      </c>
      <c r="CL88" s="49">
        <f t="shared" si="1667"/>
        <v>30</v>
      </c>
      <c r="CM88" s="50">
        <f t="shared" si="1668"/>
        <v>110000</v>
      </c>
      <c r="CO88" s="65"/>
      <c r="CP88" s="65"/>
    </row>
    <row r="89" spans="1:94" ht="26.25" customHeight="1" x14ac:dyDescent="0.25">
      <c r="A89" s="32"/>
      <c r="B89" s="74">
        <v>71</v>
      </c>
      <c r="C89" s="113" t="s">
        <v>59</v>
      </c>
      <c r="D89" s="112">
        <v>30</v>
      </c>
      <c r="E89" s="130">
        <f t="shared" si="1669"/>
        <v>30</v>
      </c>
      <c r="F89" s="44">
        <f t="shared" ref="F89:F96" si="1779">H89/D89</f>
        <v>4333.333333333333</v>
      </c>
      <c r="G89" s="116"/>
      <c r="H89" s="45">
        <f>H82*0.13</f>
        <v>130000</v>
      </c>
      <c r="I89" s="66"/>
      <c r="J89" s="67">
        <f t="shared" si="1671"/>
        <v>0</v>
      </c>
      <c r="K89" s="67">
        <f>I89*$G$69</f>
        <v>0</v>
      </c>
      <c r="L89" s="45">
        <f t="shared" si="1694"/>
        <v>0</v>
      </c>
      <c r="M89" s="66"/>
      <c r="N89" s="67">
        <f>M89*$F$69</f>
        <v>0</v>
      </c>
      <c r="O89" s="67">
        <f t="shared" ref="O89" si="1780">M89*$G$69</f>
        <v>0</v>
      </c>
      <c r="P89" s="45">
        <f t="shared" si="1618"/>
        <v>0</v>
      </c>
      <c r="Q89" s="66"/>
      <c r="R89" s="67">
        <f t="shared" ref="R89" si="1781">Q89*$F$69</f>
        <v>0</v>
      </c>
      <c r="S89" s="67">
        <f t="shared" ref="S89" si="1782">Q89*$G$69</f>
        <v>0</v>
      </c>
      <c r="T89" s="45">
        <f t="shared" si="1621"/>
        <v>0</v>
      </c>
      <c r="U89" s="66"/>
      <c r="V89" s="67">
        <f t="shared" ref="V89" si="1783">U89*$F$69</f>
        <v>0</v>
      </c>
      <c r="W89" s="67">
        <f t="shared" ref="W89" si="1784">U89*$G$69</f>
        <v>0</v>
      </c>
      <c r="X89" s="45">
        <f t="shared" si="1624"/>
        <v>0</v>
      </c>
      <c r="Y89" s="66"/>
      <c r="Z89" s="67">
        <f t="shared" ref="Z89" si="1785">Y89*$F$69</f>
        <v>0</v>
      </c>
      <c r="AA89" s="67">
        <f t="shared" ref="AA89" si="1786">Y89*$G$69</f>
        <v>0</v>
      </c>
      <c r="AB89" s="45">
        <f t="shared" si="1627"/>
        <v>0</v>
      </c>
      <c r="AC89" s="66"/>
      <c r="AD89" s="67">
        <f t="shared" ref="AD89" si="1787">AC89*$F$69</f>
        <v>0</v>
      </c>
      <c r="AE89" s="67">
        <f t="shared" ref="AE89" si="1788">AC89*$G$69</f>
        <v>0</v>
      </c>
      <c r="AF89" s="45">
        <f t="shared" si="1630"/>
        <v>0</v>
      </c>
      <c r="AG89" s="66"/>
      <c r="AH89" s="67">
        <f t="shared" ref="AH89" si="1789">AG89*$F$69</f>
        <v>0</v>
      </c>
      <c r="AI89" s="67">
        <f t="shared" ref="AI89" si="1790">AG89*$G$69</f>
        <v>0</v>
      </c>
      <c r="AJ89" s="45">
        <f t="shared" si="1633"/>
        <v>0</v>
      </c>
      <c r="AK89" s="66"/>
      <c r="AL89" s="67">
        <f t="shared" ref="AL89" si="1791">AK89*$F$69</f>
        <v>0</v>
      </c>
      <c r="AM89" s="67">
        <f t="shared" ref="AM89" si="1792">AK89*$G$69</f>
        <v>0</v>
      </c>
      <c r="AN89" s="45">
        <f t="shared" si="1636"/>
        <v>0</v>
      </c>
      <c r="AO89" s="66"/>
      <c r="AP89" s="67">
        <f t="shared" ref="AP89" si="1793">AO89*$F$69</f>
        <v>0</v>
      </c>
      <c r="AQ89" s="67">
        <f t="shared" ref="AQ89" si="1794">AO89*$G$69</f>
        <v>0</v>
      </c>
      <c r="AR89" s="45">
        <f t="shared" si="1639"/>
        <v>0</v>
      </c>
      <c r="AS89" s="66"/>
      <c r="AT89" s="67">
        <f t="shared" ref="AT89" si="1795">AS89*$F$69</f>
        <v>0</v>
      </c>
      <c r="AU89" s="67">
        <f t="shared" ref="AU89" si="1796">AS89*$G$69</f>
        <v>0</v>
      </c>
      <c r="AV89" s="45">
        <f t="shared" si="1642"/>
        <v>0</v>
      </c>
      <c r="AW89" s="66"/>
      <c r="AX89" s="67">
        <f t="shared" ref="AX89" si="1797">AW89*$F$69</f>
        <v>0</v>
      </c>
      <c r="AY89" s="67">
        <f t="shared" ref="AY89" si="1798">AW89*$G$69</f>
        <v>0</v>
      </c>
      <c r="AZ89" s="45">
        <f t="shared" si="1645"/>
        <v>0</v>
      </c>
      <c r="BA89" s="66"/>
      <c r="BB89" s="67">
        <f t="shared" ref="BB89" si="1799">BA89*$F$69</f>
        <v>0</v>
      </c>
      <c r="BC89" s="67"/>
      <c r="BD89" s="45">
        <f t="shared" si="1647"/>
        <v>0</v>
      </c>
      <c r="BE89" s="66"/>
      <c r="BF89" s="44">
        <f t="shared" si="1648"/>
        <v>0</v>
      </c>
      <c r="BG89" s="44"/>
      <c r="BH89" s="45">
        <f t="shared" si="1650"/>
        <v>0</v>
      </c>
      <c r="BI89" s="66"/>
      <c r="BJ89" s="44">
        <f t="shared" si="1651"/>
        <v>0</v>
      </c>
      <c r="BK89" s="44"/>
      <c r="BL89" s="45">
        <f t="shared" si="1652"/>
        <v>0</v>
      </c>
      <c r="BM89" s="66"/>
      <c r="BN89" s="67">
        <f t="shared" si="1653"/>
        <v>0</v>
      </c>
      <c r="BO89" s="67"/>
      <c r="BP89" s="45">
        <f t="shared" si="1654"/>
        <v>0</v>
      </c>
      <c r="BQ89" s="66"/>
      <c r="BR89" s="44">
        <f t="shared" si="1655"/>
        <v>0</v>
      </c>
      <c r="BS89" s="67"/>
      <c r="BT89" s="45">
        <f t="shared" si="1656"/>
        <v>0</v>
      </c>
      <c r="BU89" s="66"/>
      <c r="BV89" s="44">
        <f t="shared" si="1657"/>
        <v>0</v>
      </c>
      <c r="BW89" s="67"/>
      <c r="BX89" s="45">
        <f t="shared" si="1658"/>
        <v>0</v>
      </c>
      <c r="BY89" s="66"/>
      <c r="BZ89" s="44">
        <f t="shared" si="1659"/>
        <v>0</v>
      </c>
      <c r="CA89" s="67"/>
      <c r="CB89" s="45">
        <f t="shared" si="1660"/>
        <v>0</v>
      </c>
      <c r="CC89" s="66"/>
      <c r="CD89" s="44">
        <f t="shared" si="1661"/>
        <v>0</v>
      </c>
      <c r="CE89" s="67"/>
      <c r="CF89" s="45">
        <f t="shared" si="1662"/>
        <v>0</v>
      </c>
      <c r="CG89" s="136"/>
      <c r="CH89" s="91">
        <f t="shared" si="1663"/>
        <v>0</v>
      </c>
      <c r="CI89" s="47">
        <f t="shared" si="1664"/>
        <v>0</v>
      </c>
      <c r="CJ89" s="47">
        <f t="shared" si="1665"/>
        <v>0</v>
      </c>
      <c r="CK89" s="48">
        <f t="shared" si="1693"/>
        <v>0</v>
      </c>
      <c r="CL89" s="49">
        <f t="shared" si="1667"/>
        <v>30</v>
      </c>
      <c r="CM89" s="50">
        <f t="shared" si="1668"/>
        <v>130000</v>
      </c>
      <c r="CO89" s="65"/>
      <c r="CP89" s="65"/>
    </row>
    <row r="90" spans="1:94" ht="26.25" customHeight="1" x14ac:dyDescent="0.25">
      <c r="A90" s="32"/>
      <c r="B90" s="74">
        <v>72</v>
      </c>
      <c r="C90" s="113" t="s">
        <v>40</v>
      </c>
      <c r="D90" s="112">
        <v>30</v>
      </c>
      <c r="E90" s="130">
        <f t="shared" si="1669"/>
        <v>30</v>
      </c>
      <c r="F90" s="44">
        <f t="shared" si="1779"/>
        <v>3000</v>
      </c>
      <c r="G90" s="116"/>
      <c r="H90" s="45">
        <f>H82*0.09</f>
        <v>90000</v>
      </c>
      <c r="I90" s="66"/>
      <c r="J90" s="67">
        <f t="shared" si="1671"/>
        <v>0</v>
      </c>
      <c r="K90" s="67">
        <f>I90*$G$70</f>
        <v>0</v>
      </c>
      <c r="L90" s="45">
        <f t="shared" si="1694"/>
        <v>0</v>
      </c>
      <c r="M90" s="66"/>
      <c r="N90" s="67">
        <f t="shared" ref="N90:N91" si="1800">M90*$F$70</f>
        <v>0</v>
      </c>
      <c r="O90" s="67">
        <f t="shared" ref="O90:O91" si="1801">M90*$G$70</f>
        <v>0</v>
      </c>
      <c r="P90" s="45">
        <f t="shared" si="1618"/>
        <v>0</v>
      </c>
      <c r="Q90" s="66"/>
      <c r="R90" s="67">
        <f t="shared" ref="R90:R91" si="1802">Q90*$F$70</f>
        <v>0</v>
      </c>
      <c r="S90" s="67">
        <f t="shared" ref="S90:S91" si="1803">Q90*$G$70</f>
        <v>0</v>
      </c>
      <c r="T90" s="45">
        <f t="shared" si="1621"/>
        <v>0</v>
      </c>
      <c r="U90" s="66"/>
      <c r="V90" s="67">
        <f t="shared" ref="V90:V91" si="1804">U90*$F$70</f>
        <v>0</v>
      </c>
      <c r="W90" s="67">
        <f t="shared" ref="W90:W91" si="1805">U90*$G$70</f>
        <v>0</v>
      </c>
      <c r="X90" s="45">
        <f t="shared" si="1624"/>
        <v>0</v>
      </c>
      <c r="Y90" s="66"/>
      <c r="Z90" s="67">
        <f t="shared" ref="Z90:Z91" si="1806">Y90*$F$70</f>
        <v>0</v>
      </c>
      <c r="AA90" s="67">
        <f t="shared" ref="AA90:AA91" si="1807">Y90*$G$70</f>
        <v>0</v>
      </c>
      <c r="AB90" s="45">
        <f t="shared" si="1627"/>
        <v>0</v>
      </c>
      <c r="AC90" s="66"/>
      <c r="AD90" s="67">
        <f t="shared" ref="AD90:AD91" si="1808">AC90*$F$70</f>
        <v>0</v>
      </c>
      <c r="AE90" s="67">
        <f t="shared" ref="AE90:AE91" si="1809">AC90*$G$70</f>
        <v>0</v>
      </c>
      <c r="AF90" s="45">
        <f t="shared" si="1630"/>
        <v>0</v>
      </c>
      <c r="AG90" s="66"/>
      <c r="AH90" s="67">
        <f t="shared" ref="AH90:AH91" si="1810">AG90*$F$70</f>
        <v>0</v>
      </c>
      <c r="AI90" s="67">
        <f t="shared" ref="AI90:AI91" si="1811">AG90*$G$70</f>
        <v>0</v>
      </c>
      <c r="AJ90" s="45">
        <f t="shared" si="1633"/>
        <v>0</v>
      </c>
      <c r="AK90" s="66"/>
      <c r="AL90" s="67">
        <f t="shared" ref="AL90:AL91" si="1812">AK90*$F$70</f>
        <v>0</v>
      </c>
      <c r="AM90" s="67">
        <f t="shared" ref="AM90:AM91" si="1813">AK90*$G$70</f>
        <v>0</v>
      </c>
      <c r="AN90" s="45">
        <f t="shared" si="1636"/>
        <v>0</v>
      </c>
      <c r="AO90" s="66"/>
      <c r="AP90" s="67">
        <f t="shared" ref="AP90:AP91" si="1814">AO90*$F$70</f>
        <v>0</v>
      </c>
      <c r="AQ90" s="67">
        <f t="shared" ref="AQ90:AQ91" si="1815">AO90*$G$70</f>
        <v>0</v>
      </c>
      <c r="AR90" s="45">
        <f t="shared" si="1639"/>
        <v>0</v>
      </c>
      <c r="AS90" s="66"/>
      <c r="AT90" s="67">
        <f t="shared" ref="AT90:AT91" si="1816">AS90*$F$70</f>
        <v>0</v>
      </c>
      <c r="AU90" s="67">
        <f t="shared" ref="AU90:AU91" si="1817">AS90*$G$70</f>
        <v>0</v>
      </c>
      <c r="AV90" s="45">
        <f t="shared" si="1642"/>
        <v>0</v>
      </c>
      <c r="AW90" s="66"/>
      <c r="AX90" s="67">
        <f t="shared" ref="AX90:AX91" si="1818">AW90*$F$70</f>
        <v>0</v>
      </c>
      <c r="AY90" s="67">
        <f t="shared" ref="AY90:AY91" si="1819">AW90*$G$70</f>
        <v>0</v>
      </c>
      <c r="AZ90" s="45">
        <f t="shared" si="1645"/>
        <v>0</v>
      </c>
      <c r="BA90" s="66"/>
      <c r="BB90" s="67">
        <f t="shared" ref="BB90:BB91" si="1820">BA90*$F$70</f>
        <v>0</v>
      </c>
      <c r="BC90" s="67"/>
      <c r="BD90" s="45">
        <f t="shared" si="1647"/>
        <v>0</v>
      </c>
      <c r="BE90" s="66"/>
      <c r="BF90" s="44">
        <f t="shared" si="1648"/>
        <v>0</v>
      </c>
      <c r="BG90" s="44"/>
      <c r="BH90" s="45">
        <f t="shared" si="1650"/>
        <v>0</v>
      </c>
      <c r="BI90" s="66"/>
      <c r="BJ90" s="44">
        <f t="shared" si="1651"/>
        <v>0</v>
      </c>
      <c r="BK90" s="44"/>
      <c r="BL90" s="45">
        <f t="shared" si="1652"/>
        <v>0</v>
      </c>
      <c r="BM90" s="66"/>
      <c r="BN90" s="67">
        <f t="shared" si="1653"/>
        <v>0</v>
      </c>
      <c r="BO90" s="67"/>
      <c r="BP90" s="45">
        <f t="shared" si="1654"/>
        <v>0</v>
      </c>
      <c r="BQ90" s="66"/>
      <c r="BR90" s="44">
        <f t="shared" si="1655"/>
        <v>0</v>
      </c>
      <c r="BS90" s="67"/>
      <c r="BT90" s="45">
        <f t="shared" si="1656"/>
        <v>0</v>
      </c>
      <c r="BU90" s="66"/>
      <c r="BV90" s="44">
        <f t="shared" si="1657"/>
        <v>0</v>
      </c>
      <c r="BW90" s="67"/>
      <c r="BX90" s="45">
        <f t="shared" si="1658"/>
        <v>0</v>
      </c>
      <c r="BY90" s="66"/>
      <c r="BZ90" s="44">
        <f t="shared" si="1659"/>
        <v>0</v>
      </c>
      <c r="CA90" s="67"/>
      <c r="CB90" s="45">
        <f t="shared" si="1660"/>
        <v>0</v>
      </c>
      <c r="CC90" s="66"/>
      <c r="CD90" s="44">
        <f t="shared" si="1661"/>
        <v>0</v>
      </c>
      <c r="CE90" s="67"/>
      <c r="CF90" s="45">
        <f t="shared" si="1662"/>
        <v>0</v>
      </c>
      <c r="CG90" s="136"/>
      <c r="CH90" s="91">
        <f t="shared" si="1663"/>
        <v>0</v>
      </c>
      <c r="CI90" s="47">
        <f t="shared" si="1664"/>
        <v>0</v>
      </c>
      <c r="CJ90" s="47">
        <f t="shared" si="1665"/>
        <v>0</v>
      </c>
      <c r="CK90" s="48">
        <f t="shared" si="1693"/>
        <v>0</v>
      </c>
      <c r="CL90" s="49">
        <f t="shared" si="1667"/>
        <v>30</v>
      </c>
      <c r="CM90" s="50">
        <f t="shared" si="1668"/>
        <v>90000</v>
      </c>
      <c r="CO90" s="65"/>
      <c r="CP90" s="65"/>
    </row>
    <row r="91" spans="1:94" ht="26.25" customHeight="1" x14ac:dyDescent="0.25">
      <c r="A91" s="32"/>
      <c r="B91" s="74">
        <v>73</v>
      </c>
      <c r="C91" s="113" t="s">
        <v>91</v>
      </c>
      <c r="D91" s="112">
        <v>30</v>
      </c>
      <c r="E91" s="130">
        <f t="shared" si="1669"/>
        <v>30</v>
      </c>
      <c r="F91" s="44">
        <f t="shared" si="1779"/>
        <v>3333.3333333333335</v>
      </c>
      <c r="G91" s="116"/>
      <c r="H91" s="45">
        <f>H82*0.1</f>
        <v>100000</v>
      </c>
      <c r="I91" s="66"/>
      <c r="J91" s="67">
        <f t="shared" si="1671"/>
        <v>0</v>
      </c>
      <c r="K91" s="67">
        <f>I91*$G$70</f>
        <v>0</v>
      </c>
      <c r="L91" s="45">
        <f t="shared" si="1694"/>
        <v>0</v>
      </c>
      <c r="M91" s="66"/>
      <c r="N91" s="67">
        <f t="shared" si="1800"/>
        <v>0</v>
      </c>
      <c r="O91" s="67">
        <f t="shared" si="1801"/>
        <v>0</v>
      </c>
      <c r="P91" s="45">
        <f t="shared" si="1618"/>
        <v>0</v>
      </c>
      <c r="Q91" s="66"/>
      <c r="R91" s="67">
        <f t="shared" si="1802"/>
        <v>0</v>
      </c>
      <c r="S91" s="67">
        <f t="shared" si="1803"/>
        <v>0</v>
      </c>
      <c r="T91" s="45">
        <f t="shared" si="1621"/>
        <v>0</v>
      </c>
      <c r="U91" s="66"/>
      <c r="V91" s="67">
        <f t="shared" si="1804"/>
        <v>0</v>
      </c>
      <c r="W91" s="67">
        <f t="shared" si="1805"/>
        <v>0</v>
      </c>
      <c r="X91" s="45">
        <f t="shared" si="1624"/>
        <v>0</v>
      </c>
      <c r="Y91" s="66"/>
      <c r="Z91" s="67">
        <f t="shared" si="1806"/>
        <v>0</v>
      </c>
      <c r="AA91" s="67">
        <f t="shared" si="1807"/>
        <v>0</v>
      </c>
      <c r="AB91" s="45">
        <f t="shared" si="1627"/>
        <v>0</v>
      </c>
      <c r="AC91" s="66"/>
      <c r="AD91" s="67">
        <f t="shared" si="1808"/>
        <v>0</v>
      </c>
      <c r="AE91" s="67">
        <f t="shared" si="1809"/>
        <v>0</v>
      </c>
      <c r="AF91" s="45">
        <f t="shared" si="1630"/>
        <v>0</v>
      </c>
      <c r="AG91" s="66"/>
      <c r="AH91" s="67">
        <f t="shared" si="1810"/>
        <v>0</v>
      </c>
      <c r="AI91" s="67">
        <f t="shared" si="1811"/>
        <v>0</v>
      </c>
      <c r="AJ91" s="45">
        <f t="shared" si="1633"/>
        <v>0</v>
      </c>
      <c r="AK91" s="66"/>
      <c r="AL91" s="67">
        <f t="shared" si="1812"/>
        <v>0</v>
      </c>
      <c r="AM91" s="67">
        <f t="shared" si="1813"/>
        <v>0</v>
      </c>
      <c r="AN91" s="45">
        <f t="shared" si="1636"/>
        <v>0</v>
      </c>
      <c r="AO91" s="66"/>
      <c r="AP91" s="67">
        <f t="shared" si="1814"/>
        <v>0</v>
      </c>
      <c r="AQ91" s="67">
        <f t="shared" si="1815"/>
        <v>0</v>
      </c>
      <c r="AR91" s="45">
        <f t="shared" si="1639"/>
        <v>0</v>
      </c>
      <c r="AS91" s="66"/>
      <c r="AT91" s="67">
        <f t="shared" si="1816"/>
        <v>0</v>
      </c>
      <c r="AU91" s="67">
        <f t="shared" si="1817"/>
        <v>0</v>
      </c>
      <c r="AV91" s="45">
        <f t="shared" si="1642"/>
        <v>0</v>
      </c>
      <c r="AW91" s="66"/>
      <c r="AX91" s="67">
        <f t="shared" si="1818"/>
        <v>0</v>
      </c>
      <c r="AY91" s="67">
        <f t="shared" si="1819"/>
        <v>0</v>
      </c>
      <c r="AZ91" s="45">
        <f t="shared" si="1645"/>
        <v>0</v>
      </c>
      <c r="BA91" s="66"/>
      <c r="BB91" s="67">
        <f t="shared" si="1820"/>
        <v>0</v>
      </c>
      <c r="BC91" s="67"/>
      <c r="BD91" s="45">
        <f t="shared" si="1647"/>
        <v>0</v>
      </c>
      <c r="BE91" s="66"/>
      <c r="BF91" s="44">
        <f t="shared" si="1648"/>
        <v>0</v>
      </c>
      <c r="BG91" s="44"/>
      <c r="BH91" s="45">
        <f t="shared" si="1650"/>
        <v>0</v>
      </c>
      <c r="BI91" s="66"/>
      <c r="BJ91" s="44">
        <f t="shared" si="1651"/>
        <v>0</v>
      </c>
      <c r="BK91" s="44"/>
      <c r="BL91" s="45">
        <f t="shared" si="1652"/>
        <v>0</v>
      </c>
      <c r="BM91" s="66"/>
      <c r="BN91" s="67">
        <f t="shared" si="1653"/>
        <v>0</v>
      </c>
      <c r="BO91" s="67"/>
      <c r="BP91" s="45">
        <f t="shared" si="1654"/>
        <v>0</v>
      </c>
      <c r="BQ91" s="66"/>
      <c r="BR91" s="44">
        <f t="shared" si="1655"/>
        <v>0</v>
      </c>
      <c r="BS91" s="67"/>
      <c r="BT91" s="45">
        <f t="shared" si="1656"/>
        <v>0</v>
      </c>
      <c r="BU91" s="66"/>
      <c r="BV91" s="44">
        <f t="shared" si="1657"/>
        <v>0</v>
      </c>
      <c r="BW91" s="67"/>
      <c r="BX91" s="45">
        <f t="shared" si="1658"/>
        <v>0</v>
      </c>
      <c r="BY91" s="66"/>
      <c r="BZ91" s="44">
        <f t="shared" si="1659"/>
        <v>0</v>
      </c>
      <c r="CA91" s="67"/>
      <c r="CB91" s="45">
        <f t="shared" si="1660"/>
        <v>0</v>
      </c>
      <c r="CC91" s="66"/>
      <c r="CD91" s="44">
        <f t="shared" si="1661"/>
        <v>0</v>
      </c>
      <c r="CE91" s="67"/>
      <c r="CF91" s="45">
        <f t="shared" si="1662"/>
        <v>0</v>
      </c>
      <c r="CG91" s="136"/>
      <c r="CH91" s="91">
        <f t="shared" si="1663"/>
        <v>0</v>
      </c>
      <c r="CI91" s="47">
        <f t="shared" si="1664"/>
        <v>0</v>
      </c>
      <c r="CJ91" s="47">
        <f t="shared" si="1665"/>
        <v>0</v>
      </c>
      <c r="CK91" s="48">
        <f t="shared" si="1693"/>
        <v>0</v>
      </c>
      <c r="CL91" s="49">
        <f t="shared" si="1667"/>
        <v>30</v>
      </c>
      <c r="CM91" s="50">
        <f t="shared" si="1668"/>
        <v>100000</v>
      </c>
      <c r="CO91" s="65"/>
      <c r="CP91" s="65"/>
    </row>
    <row r="92" spans="1:94" ht="26.25" customHeight="1" x14ac:dyDescent="0.25">
      <c r="A92" s="32"/>
      <c r="B92" s="74">
        <v>74</v>
      </c>
      <c r="C92" s="113" t="s">
        <v>34</v>
      </c>
      <c r="D92" s="112">
        <v>30</v>
      </c>
      <c r="E92" s="130">
        <f t="shared" si="1669"/>
        <v>30</v>
      </c>
      <c r="F92" s="44">
        <f t="shared" si="1779"/>
        <v>4333.333333333333</v>
      </c>
      <c r="G92" s="116"/>
      <c r="H92" s="45">
        <f>H82*0.13</f>
        <v>130000</v>
      </c>
      <c r="I92" s="66"/>
      <c r="J92" s="67">
        <f t="shared" si="1671"/>
        <v>0</v>
      </c>
      <c r="K92" s="67">
        <f>I92*$G$72</f>
        <v>0</v>
      </c>
      <c r="L92" s="45">
        <f t="shared" si="1694"/>
        <v>0</v>
      </c>
      <c r="M92" s="66"/>
      <c r="N92" s="67">
        <f t="shared" ref="N92" si="1821">M92*$F$72</f>
        <v>0</v>
      </c>
      <c r="O92" s="67">
        <f t="shared" ref="O92" si="1822">M92*$G$72</f>
        <v>0</v>
      </c>
      <c r="P92" s="45">
        <f t="shared" si="1618"/>
        <v>0</v>
      </c>
      <c r="Q92" s="66"/>
      <c r="R92" s="67">
        <f t="shared" ref="R92" si="1823">Q92*$F$72</f>
        <v>0</v>
      </c>
      <c r="S92" s="67">
        <f t="shared" ref="S92" si="1824">Q92*$G$72</f>
        <v>0</v>
      </c>
      <c r="T92" s="45">
        <f t="shared" si="1621"/>
        <v>0</v>
      </c>
      <c r="U92" s="66"/>
      <c r="V92" s="67">
        <f t="shared" ref="V92" si="1825">U92*$F$72</f>
        <v>0</v>
      </c>
      <c r="W92" s="67">
        <f t="shared" ref="W92" si="1826">U92*$G$72</f>
        <v>0</v>
      </c>
      <c r="X92" s="45">
        <f t="shared" si="1624"/>
        <v>0</v>
      </c>
      <c r="Y92" s="66"/>
      <c r="Z92" s="67">
        <f t="shared" ref="Z92" si="1827">Y92*$F$72</f>
        <v>0</v>
      </c>
      <c r="AA92" s="67">
        <f t="shared" ref="AA92" si="1828">Y92*$G$72</f>
        <v>0</v>
      </c>
      <c r="AB92" s="45">
        <f t="shared" si="1627"/>
        <v>0</v>
      </c>
      <c r="AC92" s="66"/>
      <c r="AD92" s="67">
        <f t="shared" ref="AD92" si="1829">AC92*$F$72</f>
        <v>0</v>
      </c>
      <c r="AE92" s="67">
        <f t="shared" ref="AE92" si="1830">AC92*$G$72</f>
        <v>0</v>
      </c>
      <c r="AF92" s="45">
        <f t="shared" si="1630"/>
        <v>0</v>
      </c>
      <c r="AG92" s="66"/>
      <c r="AH92" s="67">
        <f t="shared" ref="AH92" si="1831">AG92*$F$72</f>
        <v>0</v>
      </c>
      <c r="AI92" s="67">
        <f t="shared" ref="AI92" si="1832">AG92*$G$72</f>
        <v>0</v>
      </c>
      <c r="AJ92" s="45">
        <f t="shared" si="1633"/>
        <v>0</v>
      </c>
      <c r="AK92" s="66"/>
      <c r="AL92" s="67">
        <f t="shared" ref="AL92" si="1833">AK92*$F$72</f>
        <v>0</v>
      </c>
      <c r="AM92" s="67">
        <f t="shared" ref="AM92" si="1834">AK92*$G$72</f>
        <v>0</v>
      </c>
      <c r="AN92" s="45">
        <f t="shared" si="1636"/>
        <v>0</v>
      </c>
      <c r="AO92" s="66"/>
      <c r="AP92" s="67">
        <f t="shared" ref="AP92" si="1835">AO92*$F$72</f>
        <v>0</v>
      </c>
      <c r="AQ92" s="67">
        <f t="shared" ref="AQ92" si="1836">AO92*$G$72</f>
        <v>0</v>
      </c>
      <c r="AR92" s="45">
        <f t="shared" si="1639"/>
        <v>0</v>
      </c>
      <c r="AS92" s="66"/>
      <c r="AT92" s="67">
        <f t="shared" ref="AT92" si="1837">AS92*$F$72</f>
        <v>0</v>
      </c>
      <c r="AU92" s="67">
        <f t="shared" ref="AU92" si="1838">AS92*$G$72</f>
        <v>0</v>
      </c>
      <c r="AV92" s="45">
        <f t="shared" si="1642"/>
        <v>0</v>
      </c>
      <c r="AW92" s="66"/>
      <c r="AX92" s="67">
        <f t="shared" ref="AX92" si="1839">AW92*$F$72</f>
        <v>0</v>
      </c>
      <c r="AY92" s="67">
        <f t="shared" ref="AY92" si="1840">AW92*$G$72</f>
        <v>0</v>
      </c>
      <c r="AZ92" s="45">
        <f t="shared" si="1645"/>
        <v>0</v>
      </c>
      <c r="BA92" s="66"/>
      <c r="BB92" s="67">
        <f t="shared" ref="BB92" si="1841">BA92*$F$72</f>
        <v>0</v>
      </c>
      <c r="BC92" s="67"/>
      <c r="BD92" s="45">
        <f t="shared" si="1647"/>
        <v>0</v>
      </c>
      <c r="BE92" s="66"/>
      <c r="BF92" s="44">
        <f t="shared" si="1648"/>
        <v>0</v>
      </c>
      <c r="BG92" s="44"/>
      <c r="BH92" s="45">
        <f t="shared" si="1650"/>
        <v>0</v>
      </c>
      <c r="BI92" s="66"/>
      <c r="BJ92" s="44">
        <f t="shared" si="1651"/>
        <v>0</v>
      </c>
      <c r="BK92" s="44"/>
      <c r="BL92" s="45">
        <f t="shared" si="1652"/>
        <v>0</v>
      </c>
      <c r="BM92" s="66"/>
      <c r="BN92" s="67">
        <f t="shared" si="1653"/>
        <v>0</v>
      </c>
      <c r="BO92" s="67"/>
      <c r="BP92" s="45">
        <f t="shared" si="1654"/>
        <v>0</v>
      </c>
      <c r="BQ92" s="66"/>
      <c r="BR92" s="44">
        <f t="shared" si="1655"/>
        <v>0</v>
      </c>
      <c r="BS92" s="67"/>
      <c r="BT92" s="45">
        <f t="shared" si="1656"/>
        <v>0</v>
      </c>
      <c r="BU92" s="66"/>
      <c r="BV92" s="44">
        <f t="shared" si="1657"/>
        <v>0</v>
      </c>
      <c r="BW92" s="67"/>
      <c r="BX92" s="45">
        <f t="shared" si="1658"/>
        <v>0</v>
      </c>
      <c r="BY92" s="66"/>
      <c r="BZ92" s="44">
        <f t="shared" si="1659"/>
        <v>0</v>
      </c>
      <c r="CA92" s="67"/>
      <c r="CB92" s="45">
        <f t="shared" si="1660"/>
        <v>0</v>
      </c>
      <c r="CC92" s="66"/>
      <c r="CD92" s="44">
        <f t="shared" si="1661"/>
        <v>0</v>
      </c>
      <c r="CE92" s="67"/>
      <c r="CF92" s="45">
        <f t="shared" si="1662"/>
        <v>0</v>
      </c>
      <c r="CG92" s="136"/>
      <c r="CH92" s="91">
        <f t="shared" si="1663"/>
        <v>0</v>
      </c>
      <c r="CI92" s="47">
        <f t="shared" si="1664"/>
        <v>0</v>
      </c>
      <c r="CJ92" s="47">
        <f t="shared" si="1665"/>
        <v>0</v>
      </c>
      <c r="CK92" s="48">
        <f t="shared" si="1693"/>
        <v>0</v>
      </c>
      <c r="CL92" s="49">
        <f t="shared" si="1667"/>
        <v>30</v>
      </c>
      <c r="CM92" s="50">
        <f t="shared" si="1668"/>
        <v>130000</v>
      </c>
      <c r="CO92" s="65"/>
      <c r="CP92" s="65"/>
    </row>
    <row r="93" spans="1:94" ht="26.25" customHeight="1" x14ac:dyDescent="0.25">
      <c r="A93" s="32"/>
      <c r="B93" s="74">
        <v>75</v>
      </c>
      <c r="C93" s="113" t="s">
        <v>35</v>
      </c>
      <c r="D93" s="112">
        <v>30</v>
      </c>
      <c r="E93" s="130">
        <f t="shared" si="1669"/>
        <v>30</v>
      </c>
      <c r="F93" s="44">
        <f t="shared" si="1779"/>
        <v>2000</v>
      </c>
      <c r="G93" s="116"/>
      <c r="H93" s="45">
        <f>H82*0.06</f>
        <v>60000</v>
      </c>
      <c r="I93" s="66"/>
      <c r="J93" s="67">
        <f t="shared" si="1671"/>
        <v>0</v>
      </c>
      <c r="K93" s="67">
        <f>I93*$G$73</f>
        <v>0</v>
      </c>
      <c r="L93" s="45">
        <f t="shared" si="1694"/>
        <v>0</v>
      </c>
      <c r="M93" s="66"/>
      <c r="N93" s="67">
        <f t="shared" ref="N93" si="1842">M93*$F$73</f>
        <v>0</v>
      </c>
      <c r="O93" s="67">
        <f t="shared" ref="O93" si="1843">M93*$G$73</f>
        <v>0</v>
      </c>
      <c r="P93" s="45">
        <f t="shared" si="1618"/>
        <v>0</v>
      </c>
      <c r="Q93" s="66"/>
      <c r="R93" s="67">
        <f t="shared" ref="R93" si="1844">Q93*$F$73</f>
        <v>0</v>
      </c>
      <c r="S93" s="67">
        <f t="shared" ref="S93" si="1845">Q93*$G$73</f>
        <v>0</v>
      </c>
      <c r="T93" s="45">
        <f t="shared" si="1621"/>
        <v>0</v>
      </c>
      <c r="U93" s="66"/>
      <c r="V93" s="67">
        <f t="shared" ref="V93" si="1846">U93*$F$73</f>
        <v>0</v>
      </c>
      <c r="W93" s="67">
        <f t="shared" ref="W93" si="1847">U93*$G$73</f>
        <v>0</v>
      </c>
      <c r="X93" s="45">
        <f t="shared" si="1624"/>
        <v>0</v>
      </c>
      <c r="Y93" s="66"/>
      <c r="Z93" s="67">
        <f t="shared" ref="Z93" si="1848">Y93*$F$73</f>
        <v>0</v>
      </c>
      <c r="AA93" s="67">
        <f t="shared" ref="AA93" si="1849">Y93*$G$73</f>
        <v>0</v>
      </c>
      <c r="AB93" s="45">
        <f t="shared" si="1627"/>
        <v>0</v>
      </c>
      <c r="AC93" s="66"/>
      <c r="AD93" s="67">
        <f t="shared" ref="AD93" si="1850">AC93*$F$73</f>
        <v>0</v>
      </c>
      <c r="AE93" s="67">
        <f t="shared" ref="AE93" si="1851">AC93*$G$73</f>
        <v>0</v>
      </c>
      <c r="AF93" s="45">
        <f t="shared" si="1630"/>
        <v>0</v>
      </c>
      <c r="AG93" s="66"/>
      <c r="AH93" s="67">
        <f t="shared" ref="AH93" si="1852">AG93*$F$73</f>
        <v>0</v>
      </c>
      <c r="AI93" s="67">
        <f t="shared" ref="AI93" si="1853">AG93*$G$73</f>
        <v>0</v>
      </c>
      <c r="AJ93" s="45">
        <f t="shared" si="1633"/>
        <v>0</v>
      </c>
      <c r="AK93" s="66"/>
      <c r="AL93" s="67">
        <f t="shared" ref="AL93" si="1854">AK93*$F$73</f>
        <v>0</v>
      </c>
      <c r="AM93" s="67">
        <f t="shared" ref="AM93" si="1855">AK93*$G$73</f>
        <v>0</v>
      </c>
      <c r="AN93" s="45">
        <f t="shared" si="1636"/>
        <v>0</v>
      </c>
      <c r="AO93" s="66"/>
      <c r="AP93" s="67">
        <f t="shared" ref="AP93" si="1856">AO93*$F$73</f>
        <v>0</v>
      </c>
      <c r="AQ93" s="67">
        <f t="shared" ref="AQ93" si="1857">AO93*$G$73</f>
        <v>0</v>
      </c>
      <c r="AR93" s="45">
        <f t="shared" si="1639"/>
        <v>0</v>
      </c>
      <c r="AS93" s="66"/>
      <c r="AT93" s="67">
        <f t="shared" ref="AT93" si="1858">AS93*$F$73</f>
        <v>0</v>
      </c>
      <c r="AU93" s="67">
        <f t="shared" ref="AU93" si="1859">AS93*$G$73</f>
        <v>0</v>
      </c>
      <c r="AV93" s="45">
        <f t="shared" si="1642"/>
        <v>0</v>
      </c>
      <c r="AW93" s="66"/>
      <c r="AX93" s="67">
        <f t="shared" ref="AX93" si="1860">AW93*$F$73</f>
        <v>0</v>
      </c>
      <c r="AY93" s="67">
        <f t="shared" ref="AY93" si="1861">AW93*$G$73</f>
        <v>0</v>
      </c>
      <c r="AZ93" s="45">
        <f t="shared" si="1645"/>
        <v>0</v>
      </c>
      <c r="BA93" s="66"/>
      <c r="BB93" s="67">
        <f t="shared" ref="BB93" si="1862">BA93*$F$73</f>
        <v>0</v>
      </c>
      <c r="BC93" s="67"/>
      <c r="BD93" s="45">
        <f t="shared" si="1647"/>
        <v>0</v>
      </c>
      <c r="BE93" s="66"/>
      <c r="BF93" s="44">
        <f t="shared" si="1648"/>
        <v>0</v>
      </c>
      <c r="BG93" s="44"/>
      <c r="BH93" s="45">
        <f t="shared" si="1650"/>
        <v>0</v>
      </c>
      <c r="BI93" s="66"/>
      <c r="BJ93" s="44">
        <f t="shared" si="1651"/>
        <v>0</v>
      </c>
      <c r="BK93" s="44"/>
      <c r="BL93" s="45">
        <f t="shared" si="1652"/>
        <v>0</v>
      </c>
      <c r="BM93" s="66"/>
      <c r="BN93" s="67">
        <f t="shared" si="1653"/>
        <v>0</v>
      </c>
      <c r="BO93" s="67"/>
      <c r="BP93" s="45">
        <f t="shared" si="1654"/>
        <v>0</v>
      </c>
      <c r="BQ93" s="66"/>
      <c r="BR93" s="44">
        <f t="shared" si="1655"/>
        <v>0</v>
      </c>
      <c r="BS93" s="67"/>
      <c r="BT93" s="45">
        <f t="shared" si="1656"/>
        <v>0</v>
      </c>
      <c r="BU93" s="66"/>
      <c r="BV93" s="44">
        <f t="shared" si="1657"/>
        <v>0</v>
      </c>
      <c r="BW93" s="67"/>
      <c r="BX93" s="45">
        <f t="shared" si="1658"/>
        <v>0</v>
      </c>
      <c r="BY93" s="66"/>
      <c r="BZ93" s="44">
        <f t="shared" si="1659"/>
        <v>0</v>
      </c>
      <c r="CA93" s="116"/>
      <c r="CB93" s="45">
        <f>CA93+BZ93*BY93</f>
        <v>0</v>
      </c>
      <c r="CC93" s="66"/>
      <c r="CD93" s="44">
        <f t="shared" si="1661"/>
        <v>0</v>
      </c>
      <c r="CE93" s="116"/>
      <c r="CF93" s="45">
        <f>CE93+CD93*CC93</f>
        <v>0</v>
      </c>
      <c r="CG93" s="136"/>
      <c r="CH93" s="91">
        <f t="shared" si="1663"/>
        <v>0</v>
      </c>
      <c r="CI93" s="47">
        <f t="shared" si="1664"/>
        <v>0</v>
      </c>
      <c r="CJ93" s="47">
        <f t="shared" si="1665"/>
        <v>0</v>
      </c>
      <c r="CK93" s="48">
        <f t="shared" si="1693"/>
        <v>0</v>
      </c>
      <c r="CL93" s="49">
        <f t="shared" si="1667"/>
        <v>30</v>
      </c>
      <c r="CM93" s="50">
        <f t="shared" si="1668"/>
        <v>60000</v>
      </c>
      <c r="CO93" s="65"/>
      <c r="CP93" s="65"/>
    </row>
    <row r="94" spans="1:94" ht="26.25" customHeight="1" x14ac:dyDescent="0.25">
      <c r="A94" s="32"/>
      <c r="B94" s="74">
        <v>76</v>
      </c>
      <c r="C94" s="113" t="s">
        <v>41</v>
      </c>
      <c r="D94" s="112">
        <v>30</v>
      </c>
      <c r="E94" s="130">
        <f t="shared" si="1669"/>
        <v>30</v>
      </c>
      <c r="F94" s="44">
        <f t="shared" si="1779"/>
        <v>1333.3333333333333</v>
      </c>
      <c r="G94" s="116"/>
      <c r="H94" s="45">
        <f>H82*0.04</f>
        <v>40000</v>
      </c>
      <c r="I94" s="66"/>
      <c r="J94" s="67">
        <f t="shared" si="1671"/>
        <v>0</v>
      </c>
      <c r="K94" s="67">
        <f>I94*$G$74</f>
        <v>0</v>
      </c>
      <c r="L94" s="45">
        <f t="shared" si="1694"/>
        <v>0</v>
      </c>
      <c r="M94" s="66"/>
      <c r="N94" s="67">
        <f t="shared" ref="N94" si="1863">M94*$F$74</f>
        <v>0</v>
      </c>
      <c r="O94" s="67">
        <f t="shared" ref="O94" si="1864">M94*$G$74</f>
        <v>0</v>
      </c>
      <c r="P94" s="45">
        <f t="shared" si="1618"/>
        <v>0</v>
      </c>
      <c r="Q94" s="66"/>
      <c r="R94" s="67">
        <f t="shared" ref="R94" si="1865">Q94*$F$74</f>
        <v>0</v>
      </c>
      <c r="S94" s="67">
        <f t="shared" ref="S94" si="1866">Q94*$G$74</f>
        <v>0</v>
      </c>
      <c r="T94" s="45">
        <f t="shared" si="1621"/>
        <v>0</v>
      </c>
      <c r="U94" s="66"/>
      <c r="V94" s="67">
        <f t="shared" ref="V94" si="1867">U94*$F$74</f>
        <v>0</v>
      </c>
      <c r="W94" s="67">
        <f t="shared" ref="W94" si="1868">U94*$G$74</f>
        <v>0</v>
      </c>
      <c r="X94" s="45">
        <f t="shared" si="1624"/>
        <v>0</v>
      </c>
      <c r="Y94" s="66"/>
      <c r="Z94" s="67">
        <f t="shared" ref="Z94" si="1869">Y94*$F$74</f>
        <v>0</v>
      </c>
      <c r="AA94" s="67">
        <f t="shared" ref="AA94" si="1870">Y94*$G$74</f>
        <v>0</v>
      </c>
      <c r="AB94" s="45">
        <f t="shared" si="1627"/>
        <v>0</v>
      </c>
      <c r="AC94" s="66"/>
      <c r="AD94" s="67">
        <f t="shared" ref="AD94" si="1871">AC94*$F$74</f>
        <v>0</v>
      </c>
      <c r="AE94" s="67">
        <f t="shared" ref="AE94" si="1872">AC94*$G$74</f>
        <v>0</v>
      </c>
      <c r="AF94" s="45">
        <f t="shared" si="1630"/>
        <v>0</v>
      </c>
      <c r="AG94" s="66"/>
      <c r="AH94" s="67">
        <f t="shared" ref="AH94" si="1873">AG94*$F$74</f>
        <v>0</v>
      </c>
      <c r="AI94" s="67">
        <f t="shared" ref="AI94" si="1874">AG94*$G$74</f>
        <v>0</v>
      </c>
      <c r="AJ94" s="45">
        <f t="shared" si="1633"/>
        <v>0</v>
      </c>
      <c r="AK94" s="66"/>
      <c r="AL94" s="67">
        <f t="shared" ref="AL94" si="1875">AK94*$F$74</f>
        <v>0</v>
      </c>
      <c r="AM94" s="67">
        <f t="shared" ref="AM94" si="1876">AK94*$G$74</f>
        <v>0</v>
      </c>
      <c r="AN94" s="45">
        <f t="shared" si="1636"/>
        <v>0</v>
      </c>
      <c r="AO94" s="66"/>
      <c r="AP94" s="67">
        <f t="shared" ref="AP94" si="1877">AO94*$F$74</f>
        <v>0</v>
      </c>
      <c r="AQ94" s="67">
        <f t="shared" ref="AQ94" si="1878">AO94*$G$74</f>
        <v>0</v>
      </c>
      <c r="AR94" s="45">
        <f t="shared" si="1639"/>
        <v>0</v>
      </c>
      <c r="AS94" s="66"/>
      <c r="AT94" s="67">
        <f t="shared" ref="AT94" si="1879">AS94*$F$74</f>
        <v>0</v>
      </c>
      <c r="AU94" s="67">
        <f t="shared" ref="AU94" si="1880">AS94*$G$74</f>
        <v>0</v>
      </c>
      <c r="AV94" s="45">
        <f t="shared" si="1642"/>
        <v>0</v>
      </c>
      <c r="AW94" s="66"/>
      <c r="AX94" s="67">
        <f t="shared" ref="AX94" si="1881">AW94*$F$74</f>
        <v>0</v>
      </c>
      <c r="AY94" s="67">
        <f t="shared" ref="AY94" si="1882">AW94*$G$74</f>
        <v>0</v>
      </c>
      <c r="AZ94" s="45">
        <f t="shared" si="1645"/>
        <v>0</v>
      </c>
      <c r="BA94" s="66"/>
      <c r="BB94" s="67">
        <f t="shared" ref="BB94" si="1883">BA94*$F$74</f>
        <v>0</v>
      </c>
      <c r="BC94" s="67"/>
      <c r="BD94" s="45">
        <f t="shared" si="1647"/>
        <v>0</v>
      </c>
      <c r="BE94" s="66"/>
      <c r="BF94" s="44">
        <f t="shared" si="1648"/>
        <v>0</v>
      </c>
      <c r="BG94" s="44"/>
      <c r="BH94" s="45">
        <f t="shared" si="1650"/>
        <v>0</v>
      </c>
      <c r="BI94" s="66"/>
      <c r="BJ94" s="44">
        <f t="shared" si="1651"/>
        <v>0</v>
      </c>
      <c r="BK94" s="44"/>
      <c r="BL94" s="45">
        <f t="shared" si="1652"/>
        <v>0</v>
      </c>
      <c r="BM94" s="66"/>
      <c r="BN94" s="67">
        <f t="shared" si="1653"/>
        <v>0</v>
      </c>
      <c r="BO94" s="67"/>
      <c r="BP94" s="45">
        <f t="shared" si="1654"/>
        <v>0</v>
      </c>
      <c r="BQ94" s="66"/>
      <c r="BR94" s="44">
        <f t="shared" si="1655"/>
        <v>0</v>
      </c>
      <c r="BS94" s="67"/>
      <c r="BT94" s="45">
        <f t="shared" si="1656"/>
        <v>0</v>
      </c>
      <c r="BU94" s="66"/>
      <c r="BV94" s="44">
        <f t="shared" si="1657"/>
        <v>0</v>
      </c>
      <c r="BW94" s="67"/>
      <c r="BX94" s="45">
        <f t="shared" si="1658"/>
        <v>0</v>
      </c>
      <c r="BY94" s="66"/>
      <c r="BZ94" s="44">
        <f t="shared" si="1659"/>
        <v>0</v>
      </c>
      <c r="CA94" s="67"/>
      <c r="CB94" s="45">
        <f t="shared" ref="CB94:CB98" si="1884">CA94+BZ94</f>
        <v>0</v>
      </c>
      <c r="CC94" s="66"/>
      <c r="CD94" s="44">
        <f t="shared" si="1661"/>
        <v>0</v>
      </c>
      <c r="CE94" s="67"/>
      <c r="CF94" s="45">
        <f t="shared" ref="CF94:CF98" si="1885">CE94+CD94</f>
        <v>0</v>
      </c>
      <c r="CG94" s="136"/>
      <c r="CH94" s="91">
        <f t="shared" si="1663"/>
        <v>0</v>
      </c>
      <c r="CI94" s="47">
        <f t="shared" si="1664"/>
        <v>0</v>
      </c>
      <c r="CJ94" s="47">
        <f t="shared" si="1665"/>
        <v>0</v>
      </c>
      <c r="CK94" s="48">
        <f t="shared" si="1693"/>
        <v>0</v>
      </c>
      <c r="CL94" s="49">
        <f t="shared" si="1667"/>
        <v>30</v>
      </c>
      <c r="CM94" s="50">
        <f t="shared" si="1668"/>
        <v>40000</v>
      </c>
      <c r="CO94" s="65"/>
      <c r="CP94" s="65"/>
    </row>
    <row r="95" spans="1:94" ht="26.25" customHeight="1" x14ac:dyDescent="0.25">
      <c r="A95" s="32"/>
      <c r="B95" s="74">
        <v>77</v>
      </c>
      <c r="C95" s="113" t="s">
        <v>60</v>
      </c>
      <c r="D95" s="112">
        <v>30</v>
      </c>
      <c r="E95" s="130">
        <f t="shared" si="1669"/>
        <v>30</v>
      </c>
      <c r="F95" s="44">
        <f t="shared" si="1779"/>
        <v>1000</v>
      </c>
      <c r="G95" s="116"/>
      <c r="H95" s="45">
        <f>H82*0.03</f>
        <v>30000</v>
      </c>
      <c r="I95" s="66"/>
      <c r="J95" s="67">
        <f t="shared" si="1671"/>
        <v>0</v>
      </c>
      <c r="K95" s="67">
        <f>I95*$G$75</f>
        <v>0</v>
      </c>
      <c r="L95" s="45">
        <f t="shared" si="1694"/>
        <v>0</v>
      </c>
      <c r="M95" s="66"/>
      <c r="N95" s="67">
        <f t="shared" ref="N95:N97" si="1886">M95*$F$75</f>
        <v>0</v>
      </c>
      <c r="O95" s="67">
        <f t="shared" ref="O95:O97" si="1887">M95*$G$75</f>
        <v>0</v>
      </c>
      <c r="P95" s="45">
        <f t="shared" si="1618"/>
        <v>0</v>
      </c>
      <c r="Q95" s="66"/>
      <c r="R95" s="67">
        <f t="shared" ref="R95:R97" si="1888">Q95*$F$75</f>
        <v>0</v>
      </c>
      <c r="S95" s="67">
        <f t="shared" ref="S95:S97" si="1889">Q95*$G$75</f>
        <v>0</v>
      </c>
      <c r="T95" s="45">
        <f t="shared" si="1621"/>
        <v>0</v>
      </c>
      <c r="U95" s="66"/>
      <c r="V95" s="67">
        <f t="shared" ref="V95:V97" si="1890">U95*$F$75</f>
        <v>0</v>
      </c>
      <c r="W95" s="67">
        <f t="shared" ref="W95:W97" si="1891">U95*$G$75</f>
        <v>0</v>
      </c>
      <c r="X95" s="45">
        <f t="shared" si="1624"/>
        <v>0</v>
      </c>
      <c r="Y95" s="66"/>
      <c r="Z95" s="67">
        <f t="shared" ref="Z95:Z97" si="1892">Y95*$F$75</f>
        <v>0</v>
      </c>
      <c r="AA95" s="67">
        <f t="shared" ref="AA95:AA97" si="1893">Y95*$G$75</f>
        <v>0</v>
      </c>
      <c r="AB95" s="45">
        <f t="shared" si="1627"/>
        <v>0</v>
      </c>
      <c r="AC95" s="66"/>
      <c r="AD95" s="67">
        <f t="shared" ref="AD95:AD97" si="1894">AC95*$F$75</f>
        <v>0</v>
      </c>
      <c r="AE95" s="67">
        <f t="shared" ref="AE95:AE97" si="1895">AC95*$G$75</f>
        <v>0</v>
      </c>
      <c r="AF95" s="45">
        <f t="shared" si="1630"/>
        <v>0</v>
      </c>
      <c r="AG95" s="66"/>
      <c r="AH95" s="67">
        <f t="shared" ref="AH95:AH97" si="1896">AG95*$F$75</f>
        <v>0</v>
      </c>
      <c r="AI95" s="67">
        <f t="shared" ref="AI95:AI97" si="1897">AG95*$G$75</f>
        <v>0</v>
      </c>
      <c r="AJ95" s="45">
        <f t="shared" si="1633"/>
        <v>0</v>
      </c>
      <c r="AK95" s="66"/>
      <c r="AL95" s="67">
        <f t="shared" ref="AL95:AL97" si="1898">AK95*$F$75</f>
        <v>0</v>
      </c>
      <c r="AM95" s="67">
        <f t="shared" ref="AM95:AM97" si="1899">AK95*$G$75</f>
        <v>0</v>
      </c>
      <c r="AN95" s="45">
        <f t="shared" si="1636"/>
        <v>0</v>
      </c>
      <c r="AO95" s="66"/>
      <c r="AP95" s="67">
        <f t="shared" ref="AP95:AP97" si="1900">AO95*$F$75</f>
        <v>0</v>
      </c>
      <c r="AQ95" s="67">
        <f t="shared" ref="AQ95:AQ97" si="1901">AO95*$G$75</f>
        <v>0</v>
      </c>
      <c r="AR95" s="45">
        <f t="shared" si="1639"/>
        <v>0</v>
      </c>
      <c r="AS95" s="66"/>
      <c r="AT95" s="67">
        <f t="shared" ref="AT95:AT97" si="1902">AS95*$F$75</f>
        <v>0</v>
      </c>
      <c r="AU95" s="67">
        <f t="shared" ref="AU95:AU97" si="1903">AS95*$G$75</f>
        <v>0</v>
      </c>
      <c r="AV95" s="45">
        <f t="shared" si="1642"/>
        <v>0</v>
      </c>
      <c r="AW95" s="66"/>
      <c r="AX95" s="67">
        <f t="shared" ref="AX95:AX97" si="1904">AW95*$F$75</f>
        <v>0</v>
      </c>
      <c r="AY95" s="67">
        <f t="shared" ref="AY95:AY97" si="1905">AW95*$G$75</f>
        <v>0</v>
      </c>
      <c r="AZ95" s="45">
        <f t="shared" si="1645"/>
        <v>0</v>
      </c>
      <c r="BA95" s="66"/>
      <c r="BB95" s="67">
        <f t="shared" ref="BB95:BB97" si="1906">BA95*$F$75</f>
        <v>0</v>
      </c>
      <c r="BC95" s="67"/>
      <c r="BD95" s="45">
        <f t="shared" si="1647"/>
        <v>0</v>
      </c>
      <c r="BE95" s="66"/>
      <c r="BF95" s="44">
        <f t="shared" si="1648"/>
        <v>0</v>
      </c>
      <c r="BG95" s="44"/>
      <c r="BH95" s="45">
        <f t="shared" si="1650"/>
        <v>0</v>
      </c>
      <c r="BI95" s="66"/>
      <c r="BJ95" s="44">
        <f t="shared" si="1651"/>
        <v>0</v>
      </c>
      <c r="BK95" s="44"/>
      <c r="BL95" s="45">
        <f t="shared" si="1652"/>
        <v>0</v>
      </c>
      <c r="BM95" s="66"/>
      <c r="BN95" s="67">
        <f t="shared" si="1653"/>
        <v>0</v>
      </c>
      <c r="BO95" s="67"/>
      <c r="BP95" s="45">
        <f t="shared" si="1654"/>
        <v>0</v>
      </c>
      <c r="BQ95" s="66"/>
      <c r="BR95" s="44">
        <f t="shared" si="1655"/>
        <v>0</v>
      </c>
      <c r="BS95" s="67"/>
      <c r="BT95" s="45">
        <f t="shared" si="1656"/>
        <v>0</v>
      </c>
      <c r="BU95" s="66"/>
      <c r="BV95" s="44">
        <f t="shared" si="1657"/>
        <v>0</v>
      </c>
      <c r="BW95" s="67"/>
      <c r="BX95" s="45">
        <f t="shared" si="1658"/>
        <v>0</v>
      </c>
      <c r="BY95" s="66"/>
      <c r="BZ95" s="44">
        <f t="shared" si="1659"/>
        <v>0</v>
      </c>
      <c r="CA95" s="67"/>
      <c r="CB95" s="45">
        <f t="shared" si="1884"/>
        <v>0</v>
      </c>
      <c r="CC95" s="66"/>
      <c r="CD95" s="44">
        <f t="shared" si="1661"/>
        <v>0</v>
      </c>
      <c r="CE95" s="67"/>
      <c r="CF95" s="45">
        <f t="shared" si="1885"/>
        <v>0</v>
      </c>
      <c r="CG95" s="136"/>
      <c r="CH95" s="91">
        <f t="shared" si="1663"/>
        <v>0</v>
      </c>
      <c r="CI95" s="47">
        <f t="shared" si="1664"/>
        <v>0</v>
      </c>
      <c r="CJ95" s="47">
        <f t="shared" si="1665"/>
        <v>0</v>
      </c>
      <c r="CK95" s="48">
        <f t="shared" si="1693"/>
        <v>0</v>
      </c>
      <c r="CL95" s="49">
        <f t="shared" si="1667"/>
        <v>30</v>
      </c>
      <c r="CM95" s="50">
        <f t="shared" si="1668"/>
        <v>30000</v>
      </c>
      <c r="CO95" s="65"/>
      <c r="CP95" s="65"/>
    </row>
    <row r="96" spans="1:94" ht="26.25" customHeight="1" x14ac:dyDescent="0.25">
      <c r="A96" s="32"/>
      <c r="B96" s="74">
        <v>78</v>
      </c>
      <c r="C96" s="113" t="s">
        <v>84</v>
      </c>
      <c r="D96" s="112">
        <v>4</v>
      </c>
      <c r="E96" s="130">
        <f t="shared" si="1669"/>
        <v>4</v>
      </c>
      <c r="F96" s="44">
        <f t="shared" si="1779"/>
        <v>2500</v>
      </c>
      <c r="G96" s="116"/>
      <c r="H96" s="45">
        <f>H82*0.01</f>
        <v>10000</v>
      </c>
      <c r="I96" s="66"/>
      <c r="J96" s="67">
        <f t="shared" si="1671"/>
        <v>0</v>
      </c>
      <c r="K96" s="67">
        <f>I96*$G$75</f>
        <v>0</v>
      </c>
      <c r="L96" s="45">
        <f t="shared" si="1694"/>
        <v>0</v>
      </c>
      <c r="M96" s="66"/>
      <c r="N96" s="67">
        <f t="shared" si="1886"/>
        <v>0</v>
      </c>
      <c r="O96" s="67">
        <f t="shared" si="1887"/>
        <v>0</v>
      </c>
      <c r="P96" s="45">
        <f t="shared" si="1618"/>
        <v>0</v>
      </c>
      <c r="Q96" s="66"/>
      <c r="R96" s="67">
        <f t="shared" si="1888"/>
        <v>0</v>
      </c>
      <c r="S96" s="67">
        <f t="shared" si="1889"/>
        <v>0</v>
      </c>
      <c r="T96" s="45">
        <f t="shared" si="1621"/>
        <v>0</v>
      </c>
      <c r="U96" s="66"/>
      <c r="V96" s="67">
        <f t="shared" si="1890"/>
        <v>0</v>
      </c>
      <c r="W96" s="67">
        <f t="shared" si="1891"/>
        <v>0</v>
      </c>
      <c r="X96" s="45">
        <f t="shared" si="1624"/>
        <v>0</v>
      </c>
      <c r="Y96" s="66"/>
      <c r="Z96" s="67">
        <f t="shared" si="1892"/>
        <v>0</v>
      </c>
      <c r="AA96" s="67">
        <f t="shared" si="1893"/>
        <v>0</v>
      </c>
      <c r="AB96" s="45">
        <f t="shared" si="1627"/>
        <v>0</v>
      </c>
      <c r="AC96" s="66"/>
      <c r="AD96" s="67">
        <f t="shared" si="1894"/>
        <v>0</v>
      </c>
      <c r="AE96" s="67">
        <f t="shared" si="1895"/>
        <v>0</v>
      </c>
      <c r="AF96" s="45">
        <f t="shared" si="1630"/>
        <v>0</v>
      </c>
      <c r="AG96" s="66"/>
      <c r="AH96" s="67">
        <f t="shared" si="1896"/>
        <v>0</v>
      </c>
      <c r="AI96" s="67">
        <f t="shared" si="1897"/>
        <v>0</v>
      </c>
      <c r="AJ96" s="45">
        <f t="shared" si="1633"/>
        <v>0</v>
      </c>
      <c r="AK96" s="66"/>
      <c r="AL96" s="67">
        <f t="shared" si="1898"/>
        <v>0</v>
      </c>
      <c r="AM96" s="67">
        <f t="shared" si="1899"/>
        <v>0</v>
      </c>
      <c r="AN96" s="45">
        <f t="shared" si="1636"/>
        <v>0</v>
      </c>
      <c r="AO96" s="66"/>
      <c r="AP96" s="67">
        <f t="shared" si="1900"/>
        <v>0</v>
      </c>
      <c r="AQ96" s="67">
        <f t="shared" si="1901"/>
        <v>0</v>
      </c>
      <c r="AR96" s="45">
        <f t="shared" si="1639"/>
        <v>0</v>
      </c>
      <c r="AS96" s="66"/>
      <c r="AT96" s="67">
        <f t="shared" si="1902"/>
        <v>0</v>
      </c>
      <c r="AU96" s="67">
        <f t="shared" si="1903"/>
        <v>0</v>
      </c>
      <c r="AV96" s="45">
        <f t="shared" si="1642"/>
        <v>0</v>
      </c>
      <c r="AW96" s="66"/>
      <c r="AX96" s="67">
        <f t="shared" si="1904"/>
        <v>0</v>
      </c>
      <c r="AY96" s="67">
        <f t="shared" si="1905"/>
        <v>0</v>
      </c>
      <c r="AZ96" s="45">
        <f t="shared" si="1645"/>
        <v>0</v>
      </c>
      <c r="BA96" s="66"/>
      <c r="BB96" s="67">
        <f t="shared" si="1906"/>
        <v>0</v>
      </c>
      <c r="BC96" s="67"/>
      <c r="BD96" s="45">
        <f t="shared" si="1647"/>
        <v>0</v>
      </c>
      <c r="BE96" s="66"/>
      <c r="BF96" s="44">
        <f t="shared" si="1648"/>
        <v>0</v>
      </c>
      <c r="BG96" s="44"/>
      <c r="BH96" s="45">
        <f t="shared" si="1650"/>
        <v>0</v>
      </c>
      <c r="BI96" s="66"/>
      <c r="BJ96" s="44">
        <f t="shared" si="1651"/>
        <v>0</v>
      </c>
      <c r="BK96" s="44"/>
      <c r="BL96" s="45">
        <f t="shared" si="1652"/>
        <v>0</v>
      </c>
      <c r="BM96" s="66"/>
      <c r="BN96" s="67">
        <f t="shared" si="1653"/>
        <v>0</v>
      </c>
      <c r="BO96" s="67"/>
      <c r="BP96" s="45">
        <f t="shared" si="1654"/>
        <v>0</v>
      </c>
      <c r="BQ96" s="66"/>
      <c r="BR96" s="44">
        <f t="shared" si="1655"/>
        <v>0</v>
      </c>
      <c r="BS96" s="67"/>
      <c r="BT96" s="45">
        <f t="shared" si="1656"/>
        <v>0</v>
      </c>
      <c r="BU96" s="66"/>
      <c r="BV96" s="44">
        <f t="shared" si="1657"/>
        <v>0</v>
      </c>
      <c r="BW96" s="67"/>
      <c r="BX96" s="45">
        <f t="shared" si="1658"/>
        <v>0</v>
      </c>
      <c r="BY96" s="66"/>
      <c r="BZ96" s="44">
        <f t="shared" si="1659"/>
        <v>0</v>
      </c>
      <c r="CA96" s="67"/>
      <c r="CB96" s="45">
        <f t="shared" si="1884"/>
        <v>0</v>
      </c>
      <c r="CC96" s="66"/>
      <c r="CD96" s="44">
        <f t="shared" si="1661"/>
        <v>0</v>
      </c>
      <c r="CE96" s="67"/>
      <c r="CF96" s="45">
        <f t="shared" si="1885"/>
        <v>0</v>
      </c>
      <c r="CG96" s="136"/>
      <c r="CH96" s="91">
        <f t="shared" si="1663"/>
        <v>0</v>
      </c>
      <c r="CI96" s="47">
        <f t="shared" si="1664"/>
        <v>0</v>
      </c>
      <c r="CJ96" s="47">
        <f t="shared" si="1665"/>
        <v>0</v>
      </c>
      <c r="CK96" s="48">
        <f t="shared" si="1693"/>
        <v>0</v>
      </c>
      <c r="CL96" s="49">
        <f t="shared" si="1667"/>
        <v>4</v>
      </c>
      <c r="CM96" s="50">
        <f t="shared" si="1668"/>
        <v>10000</v>
      </c>
      <c r="CO96" s="65"/>
      <c r="CP96" s="65"/>
    </row>
    <row r="97" spans="1:94" ht="26.25" customHeight="1" x14ac:dyDescent="0.25">
      <c r="A97" s="32"/>
      <c r="B97" s="74">
        <v>79</v>
      </c>
      <c r="C97" s="113" t="s">
        <v>83</v>
      </c>
      <c r="D97" s="112">
        <v>30</v>
      </c>
      <c r="E97" s="130">
        <f t="shared" si="1669"/>
        <v>30</v>
      </c>
      <c r="F97" s="44">
        <f>H97/D97</f>
        <v>1000</v>
      </c>
      <c r="G97" s="116"/>
      <c r="H97" s="45">
        <f>H82*0.03</f>
        <v>30000</v>
      </c>
      <c r="I97" s="66"/>
      <c r="J97" s="67">
        <f t="shared" si="1671"/>
        <v>0</v>
      </c>
      <c r="K97" s="67">
        <f>I97*$G$75</f>
        <v>0</v>
      </c>
      <c r="L97" s="45">
        <f t="shared" si="1694"/>
        <v>0</v>
      </c>
      <c r="M97" s="66"/>
      <c r="N97" s="67">
        <f t="shared" si="1886"/>
        <v>0</v>
      </c>
      <c r="O97" s="67">
        <f t="shared" si="1887"/>
        <v>0</v>
      </c>
      <c r="P97" s="45">
        <f t="shared" si="1618"/>
        <v>0</v>
      </c>
      <c r="Q97" s="66"/>
      <c r="R97" s="67">
        <f t="shared" si="1888"/>
        <v>0</v>
      </c>
      <c r="S97" s="67">
        <f t="shared" si="1889"/>
        <v>0</v>
      </c>
      <c r="T97" s="45">
        <f t="shared" si="1621"/>
        <v>0</v>
      </c>
      <c r="U97" s="66"/>
      <c r="V97" s="67">
        <f t="shared" si="1890"/>
        <v>0</v>
      </c>
      <c r="W97" s="67">
        <f t="shared" si="1891"/>
        <v>0</v>
      </c>
      <c r="X97" s="45">
        <f t="shared" si="1624"/>
        <v>0</v>
      </c>
      <c r="Y97" s="66"/>
      <c r="Z97" s="67">
        <f t="shared" si="1892"/>
        <v>0</v>
      </c>
      <c r="AA97" s="67">
        <f t="shared" si="1893"/>
        <v>0</v>
      </c>
      <c r="AB97" s="45">
        <f t="shared" si="1627"/>
        <v>0</v>
      </c>
      <c r="AC97" s="66"/>
      <c r="AD97" s="67">
        <f t="shared" si="1894"/>
        <v>0</v>
      </c>
      <c r="AE97" s="67">
        <f t="shared" si="1895"/>
        <v>0</v>
      </c>
      <c r="AF97" s="45">
        <f t="shared" si="1630"/>
        <v>0</v>
      </c>
      <c r="AG97" s="66"/>
      <c r="AH97" s="67">
        <f t="shared" si="1896"/>
        <v>0</v>
      </c>
      <c r="AI97" s="67">
        <f t="shared" si="1897"/>
        <v>0</v>
      </c>
      <c r="AJ97" s="45">
        <f t="shared" si="1633"/>
        <v>0</v>
      </c>
      <c r="AK97" s="66"/>
      <c r="AL97" s="67">
        <f t="shared" si="1898"/>
        <v>0</v>
      </c>
      <c r="AM97" s="67">
        <f t="shared" si="1899"/>
        <v>0</v>
      </c>
      <c r="AN97" s="45">
        <f t="shared" si="1636"/>
        <v>0</v>
      </c>
      <c r="AO97" s="66"/>
      <c r="AP97" s="67">
        <f t="shared" si="1900"/>
        <v>0</v>
      </c>
      <c r="AQ97" s="67">
        <f t="shared" si="1901"/>
        <v>0</v>
      </c>
      <c r="AR97" s="45">
        <f t="shared" si="1639"/>
        <v>0</v>
      </c>
      <c r="AS97" s="66"/>
      <c r="AT97" s="67">
        <f t="shared" si="1902"/>
        <v>0</v>
      </c>
      <c r="AU97" s="67">
        <f t="shared" si="1903"/>
        <v>0</v>
      </c>
      <c r="AV97" s="45">
        <f t="shared" si="1642"/>
        <v>0</v>
      </c>
      <c r="AW97" s="66"/>
      <c r="AX97" s="67">
        <f t="shared" si="1904"/>
        <v>0</v>
      </c>
      <c r="AY97" s="67">
        <f t="shared" si="1905"/>
        <v>0</v>
      </c>
      <c r="AZ97" s="45">
        <f t="shared" si="1645"/>
        <v>0</v>
      </c>
      <c r="BA97" s="66"/>
      <c r="BB97" s="67">
        <f t="shared" si="1906"/>
        <v>0</v>
      </c>
      <c r="BC97" s="67"/>
      <c r="BD97" s="45">
        <f t="shared" si="1647"/>
        <v>0</v>
      </c>
      <c r="BE97" s="66"/>
      <c r="BF97" s="44">
        <f t="shared" si="1648"/>
        <v>0</v>
      </c>
      <c r="BG97" s="44"/>
      <c r="BH97" s="45">
        <f t="shared" si="1650"/>
        <v>0</v>
      </c>
      <c r="BI97" s="66"/>
      <c r="BJ97" s="44">
        <f t="shared" si="1651"/>
        <v>0</v>
      </c>
      <c r="BK97" s="44"/>
      <c r="BL97" s="45">
        <f t="shared" si="1652"/>
        <v>0</v>
      </c>
      <c r="BM97" s="66"/>
      <c r="BN97" s="67">
        <f t="shared" si="1653"/>
        <v>0</v>
      </c>
      <c r="BO97" s="67"/>
      <c r="BP97" s="45">
        <f t="shared" si="1654"/>
        <v>0</v>
      </c>
      <c r="BQ97" s="66"/>
      <c r="BR97" s="44">
        <f t="shared" si="1655"/>
        <v>0</v>
      </c>
      <c r="BS97" s="67"/>
      <c r="BT97" s="45">
        <f t="shared" si="1656"/>
        <v>0</v>
      </c>
      <c r="BU97" s="66"/>
      <c r="BV97" s="44">
        <f t="shared" si="1657"/>
        <v>0</v>
      </c>
      <c r="BW97" s="67"/>
      <c r="BX97" s="45">
        <f t="shared" si="1658"/>
        <v>0</v>
      </c>
      <c r="BY97" s="66"/>
      <c r="BZ97" s="44">
        <f t="shared" si="1659"/>
        <v>0</v>
      </c>
      <c r="CA97" s="67"/>
      <c r="CB97" s="45">
        <f t="shared" si="1884"/>
        <v>0</v>
      </c>
      <c r="CC97" s="66"/>
      <c r="CD97" s="44">
        <f t="shared" si="1661"/>
        <v>0</v>
      </c>
      <c r="CE97" s="67"/>
      <c r="CF97" s="45">
        <f t="shared" si="1885"/>
        <v>0</v>
      </c>
      <c r="CG97" s="136"/>
      <c r="CH97" s="91">
        <f t="shared" si="1663"/>
        <v>0</v>
      </c>
      <c r="CI97" s="47">
        <f t="shared" si="1664"/>
        <v>0</v>
      </c>
      <c r="CJ97" s="47">
        <f t="shared" si="1665"/>
        <v>0</v>
      </c>
      <c r="CK97" s="48">
        <f t="shared" si="1693"/>
        <v>0</v>
      </c>
      <c r="CL97" s="49">
        <f t="shared" si="1667"/>
        <v>30</v>
      </c>
      <c r="CM97" s="50">
        <f t="shared" si="1668"/>
        <v>30000</v>
      </c>
      <c r="CO97" s="65"/>
      <c r="CP97" s="65"/>
    </row>
    <row r="98" spans="1:94" ht="26.25" customHeight="1" x14ac:dyDescent="0.25">
      <c r="A98" s="32"/>
      <c r="B98" s="74">
        <v>80</v>
      </c>
      <c r="C98" s="113" t="s">
        <v>61</v>
      </c>
      <c r="D98" s="112">
        <v>30</v>
      </c>
      <c r="E98" s="130">
        <f t="shared" si="1669"/>
        <v>30</v>
      </c>
      <c r="F98" s="44">
        <f t="shared" ref="F98" si="1907">H98/D98</f>
        <v>666.66666666666663</v>
      </c>
      <c r="G98" s="116"/>
      <c r="H98" s="45">
        <f>H82*0.02</f>
        <v>20000</v>
      </c>
      <c r="I98" s="66"/>
      <c r="J98" s="67">
        <f t="shared" si="1671"/>
        <v>0</v>
      </c>
      <c r="K98" s="67">
        <f>I98*$G$78</f>
        <v>0</v>
      </c>
      <c r="L98" s="45">
        <f t="shared" si="1694"/>
        <v>0</v>
      </c>
      <c r="M98" s="66"/>
      <c r="N98" s="67">
        <f t="shared" ref="N98" si="1908">M98*$F$78</f>
        <v>0</v>
      </c>
      <c r="O98" s="67">
        <f t="shared" ref="O98" si="1909">M98*$G$78</f>
        <v>0</v>
      </c>
      <c r="P98" s="45">
        <f t="shared" si="1618"/>
        <v>0</v>
      </c>
      <c r="Q98" s="66"/>
      <c r="R98" s="67">
        <f t="shared" ref="R98" si="1910">Q98*$F$78</f>
        <v>0</v>
      </c>
      <c r="S98" s="67">
        <f t="shared" ref="S98" si="1911">Q98*$G$78</f>
        <v>0</v>
      </c>
      <c r="T98" s="45">
        <f t="shared" si="1621"/>
        <v>0</v>
      </c>
      <c r="U98" s="66"/>
      <c r="V98" s="67">
        <f t="shared" ref="V98" si="1912">U98*$F$78</f>
        <v>0</v>
      </c>
      <c r="W98" s="67">
        <f t="shared" ref="W98" si="1913">U98*$G$78</f>
        <v>0</v>
      </c>
      <c r="X98" s="45">
        <f t="shared" si="1624"/>
        <v>0</v>
      </c>
      <c r="Y98" s="66"/>
      <c r="Z98" s="67">
        <f t="shared" ref="Z98" si="1914">Y98*$F$78</f>
        <v>0</v>
      </c>
      <c r="AA98" s="67">
        <f t="shared" ref="AA98" si="1915">Y98*$G$78</f>
        <v>0</v>
      </c>
      <c r="AB98" s="45">
        <f t="shared" si="1627"/>
        <v>0</v>
      </c>
      <c r="AC98" s="66"/>
      <c r="AD98" s="67">
        <f t="shared" ref="AD98" si="1916">AC98*$F$78</f>
        <v>0</v>
      </c>
      <c r="AE98" s="67">
        <f t="shared" ref="AE98" si="1917">AC98*$G$78</f>
        <v>0</v>
      </c>
      <c r="AF98" s="45">
        <f t="shared" si="1630"/>
        <v>0</v>
      </c>
      <c r="AG98" s="66"/>
      <c r="AH98" s="67">
        <f t="shared" ref="AH98" si="1918">AG98*$F$78</f>
        <v>0</v>
      </c>
      <c r="AI98" s="67">
        <f t="shared" ref="AI98" si="1919">AG98*$G$78</f>
        <v>0</v>
      </c>
      <c r="AJ98" s="45">
        <f t="shared" si="1633"/>
        <v>0</v>
      </c>
      <c r="AK98" s="66"/>
      <c r="AL98" s="67">
        <f t="shared" ref="AL98" si="1920">AK98*$F$78</f>
        <v>0</v>
      </c>
      <c r="AM98" s="67">
        <f t="shared" ref="AM98" si="1921">AK98*$G$78</f>
        <v>0</v>
      </c>
      <c r="AN98" s="45">
        <f t="shared" si="1636"/>
        <v>0</v>
      </c>
      <c r="AO98" s="66"/>
      <c r="AP98" s="67">
        <f t="shared" ref="AP98" si="1922">AO98*$F$78</f>
        <v>0</v>
      </c>
      <c r="AQ98" s="67">
        <f t="shared" ref="AQ98" si="1923">AO98*$G$78</f>
        <v>0</v>
      </c>
      <c r="AR98" s="45">
        <f t="shared" si="1639"/>
        <v>0</v>
      </c>
      <c r="AS98" s="66"/>
      <c r="AT98" s="67">
        <f t="shared" ref="AT98" si="1924">AS98*$F$78</f>
        <v>0</v>
      </c>
      <c r="AU98" s="67">
        <f t="shared" ref="AU98" si="1925">AS98*$G$78</f>
        <v>0</v>
      </c>
      <c r="AV98" s="45">
        <f t="shared" si="1642"/>
        <v>0</v>
      </c>
      <c r="AW98" s="66"/>
      <c r="AX98" s="67">
        <f t="shared" ref="AX98" si="1926">AW98*$F$78</f>
        <v>0</v>
      </c>
      <c r="AY98" s="67">
        <f t="shared" ref="AY98" si="1927">AW98*$G$78</f>
        <v>0</v>
      </c>
      <c r="AZ98" s="45">
        <f t="shared" si="1645"/>
        <v>0</v>
      </c>
      <c r="BA98" s="66"/>
      <c r="BB98" s="67">
        <f t="shared" ref="BB98" si="1928">BA98*$F$78</f>
        <v>0</v>
      </c>
      <c r="BC98" s="67">
        <f t="shared" ref="BC98" si="1929">BA98*$G$78</f>
        <v>0</v>
      </c>
      <c r="BD98" s="45">
        <f t="shared" si="1647"/>
        <v>0</v>
      </c>
      <c r="BE98" s="66"/>
      <c r="BF98" s="44">
        <f t="shared" si="1648"/>
        <v>0</v>
      </c>
      <c r="BG98" s="44">
        <f t="shared" ref="BG98" si="1930">G98*BE98</f>
        <v>0</v>
      </c>
      <c r="BH98" s="45">
        <f t="shared" si="1650"/>
        <v>0</v>
      </c>
      <c r="BI98" s="66"/>
      <c r="BJ98" s="44">
        <f t="shared" si="1651"/>
        <v>0</v>
      </c>
      <c r="BK98" s="44"/>
      <c r="BL98" s="45">
        <f t="shared" si="1652"/>
        <v>0</v>
      </c>
      <c r="BM98" s="66"/>
      <c r="BN98" s="67">
        <f t="shared" si="1653"/>
        <v>0</v>
      </c>
      <c r="BO98" s="67"/>
      <c r="BP98" s="45">
        <f t="shared" si="1654"/>
        <v>0</v>
      </c>
      <c r="BQ98" s="66"/>
      <c r="BR98" s="44">
        <f t="shared" si="1655"/>
        <v>0</v>
      </c>
      <c r="BS98" s="67"/>
      <c r="BT98" s="45">
        <f t="shared" si="1656"/>
        <v>0</v>
      </c>
      <c r="BU98" s="66"/>
      <c r="BV98" s="44">
        <f t="shared" si="1657"/>
        <v>0</v>
      </c>
      <c r="BW98" s="67"/>
      <c r="BX98" s="45">
        <f t="shared" si="1658"/>
        <v>0</v>
      </c>
      <c r="BY98" s="66"/>
      <c r="BZ98" s="44">
        <f t="shared" si="1659"/>
        <v>0</v>
      </c>
      <c r="CA98" s="67"/>
      <c r="CB98" s="45">
        <f t="shared" si="1884"/>
        <v>0</v>
      </c>
      <c r="CC98" s="66"/>
      <c r="CD98" s="44">
        <f t="shared" si="1661"/>
        <v>0</v>
      </c>
      <c r="CE98" s="67"/>
      <c r="CF98" s="45">
        <f t="shared" si="1885"/>
        <v>0</v>
      </c>
      <c r="CG98" s="136"/>
      <c r="CH98" s="91">
        <f t="shared" si="1663"/>
        <v>0</v>
      </c>
      <c r="CI98" s="47">
        <f t="shared" si="1664"/>
        <v>0</v>
      </c>
      <c r="CJ98" s="47">
        <f t="shared" si="1665"/>
        <v>0</v>
      </c>
      <c r="CK98" s="48">
        <f t="shared" si="1693"/>
        <v>0</v>
      </c>
      <c r="CL98" s="49">
        <f t="shared" si="1667"/>
        <v>30</v>
      </c>
      <c r="CM98" s="50">
        <f t="shared" si="1668"/>
        <v>20000</v>
      </c>
      <c r="CO98" s="65"/>
      <c r="CP98" s="65"/>
    </row>
    <row r="99" spans="1:94" ht="26.25" customHeight="1" x14ac:dyDescent="0.25">
      <c r="A99" s="32"/>
      <c r="B99" s="74">
        <v>81</v>
      </c>
      <c r="C99" s="113"/>
      <c r="D99" s="112"/>
      <c r="E99" s="164"/>
      <c r="F99" s="44"/>
      <c r="G99" s="116"/>
      <c r="H99" s="45"/>
      <c r="I99" s="66"/>
      <c r="J99" s="67"/>
      <c r="K99" s="67"/>
      <c r="L99" s="45"/>
      <c r="M99" s="66"/>
      <c r="N99" s="67"/>
      <c r="O99" s="67"/>
      <c r="P99" s="45"/>
      <c r="Q99" s="66"/>
      <c r="R99" s="67"/>
      <c r="S99" s="67"/>
      <c r="T99" s="45"/>
      <c r="U99" s="66"/>
      <c r="V99" s="67"/>
      <c r="W99" s="67"/>
      <c r="X99" s="45"/>
      <c r="Y99" s="66"/>
      <c r="Z99" s="67"/>
      <c r="AA99" s="67"/>
      <c r="AB99" s="45"/>
      <c r="AC99" s="66"/>
      <c r="AD99" s="67"/>
      <c r="AE99" s="67"/>
      <c r="AF99" s="45"/>
      <c r="AG99" s="66"/>
      <c r="AH99" s="67"/>
      <c r="AI99" s="67"/>
      <c r="AJ99" s="45"/>
      <c r="AK99" s="66"/>
      <c r="AL99" s="67"/>
      <c r="AM99" s="67"/>
      <c r="AN99" s="45"/>
      <c r="AO99" s="66"/>
      <c r="AP99" s="67"/>
      <c r="AQ99" s="67"/>
      <c r="AR99" s="45"/>
      <c r="AS99" s="66"/>
      <c r="AT99" s="67"/>
      <c r="AU99" s="67"/>
      <c r="AV99" s="45"/>
      <c r="AW99" s="66"/>
      <c r="AX99" s="67"/>
      <c r="AY99" s="67"/>
      <c r="AZ99" s="45"/>
      <c r="BA99" s="66"/>
      <c r="BB99" s="67"/>
      <c r="BC99" s="67"/>
      <c r="BD99" s="45"/>
      <c r="BE99" s="66"/>
      <c r="BF99" s="44"/>
      <c r="BG99" s="44"/>
      <c r="BH99" s="45"/>
      <c r="BI99" s="66"/>
      <c r="BJ99" s="44"/>
      <c r="BK99" s="44"/>
      <c r="BL99" s="45"/>
      <c r="BM99" s="66"/>
      <c r="BN99" s="67"/>
      <c r="BO99" s="67"/>
      <c r="BP99" s="45"/>
      <c r="BQ99" s="66"/>
      <c r="BR99" s="44"/>
      <c r="BS99" s="67"/>
      <c r="BT99" s="45"/>
      <c r="BU99" s="66"/>
      <c r="BV99" s="44"/>
      <c r="BW99" s="67"/>
      <c r="BX99" s="45"/>
      <c r="BY99" s="66"/>
      <c r="BZ99" s="44"/>
      <c r="CA99" s="67"/>
      <c r="CB99" s="45"/>
      <c r="CC99" s="66"/>
      <c r="CD99" s="44"/>
      <c r="CE99" s="67"/>
      <c r="CF99" s="45"/>
      <c r="CG99" s="136"/>
      <c r="CH99" s="91"/>
      <c r="CI99" s="47"/>
      <c r="CJ99" s="47"/>
      <c r="CK99" s="48"/>
      <c r="CL99" s="49"/>
      <c r="CM99" s="50"/>
      <c r="CO99" s="65"/>
      <c r="CP99" s="65"/>
    </row>
    <row r="100" spans="1:94" s="158" customFormat="1" ht="26.25" customHeight="1" x14ac:dyDescent="0.25">
      <c r="A100" s="148"/>
      <c r="B100" s="74">
        <v>82</v>
      </c>
      <c r="C100" s="146" t="s">
        <v>78</v>
      </c>
      <c r="D100" s="149"/>
      <c r="E100" s="149"/>
      <c r="F100" s="150"/>
      <c r="G100" s="151"/>
      <c r="H100" s="147">
        <f>SUM(H83:H98)</f>
        <v>1000000</v>
      </c>
      <c r="I100" s="152"/>
      <c r="J100" s="153"/>
      <c r="K100" s="153"/>
      <c r="L100" s="147"/>
      <c r="M100" s="152"/>
      <c r="N100" s="153"/>
      <c r="O100" s="153"/>
      <c r="P100" s="147"/>
      <c r="Q100" s="152"/>
      <c r="R100" s="153"/>
      <c r="S100" s="153"/>
      <c r="T100" s="147"/>
      <c r="U100" s="152"/>
      <c r="V100" s="153"/>
      <c r="W100" s="153"/>
      <c r="X100" s="147"/>
      <c r="Y100" s="152"/>
      <c r="Z100" s="153"/>
      <c r="AA100" s="153"/>
      <c r="AB100" s="147"/>
      <c r="AC100" s="152"/>
      <c r="AD100" s="153"/>
      <c r="AE100" s="153"/>
      <c r="AF100" s="147"/>
      <c r="AG100" s="152"/>
      <c r="AH100" s="153"/>
      <c r="AI100" s="153"/>
      <c r="AJ100" s="147"/>
      <c r="AK100" s="152"/>
      <c r="AL100" s="153"/>
      <c r="AM100" s="153"/>
      <c r="AN100" s="147"/>
      <c r="AO100" s="152"/>
      <c r="AP100" s="153"/>
      <c r="AQ100" s="153"/>
      <c r="AR100" s="147"/>
      <c r="AS100" s="152"/>
      <c r="AT100" s="153"/>
      <c r="AU100" s="153"/>
      <c r="AV100" s="147"/>
      <c r="AW100" s="152"/>
      <c r="AX100" s="153"/>
      <c r="AY100" s="153"/>
      <c r="AZ100" s="147"/>
      <c r="BA100" s="152"/>
      <c r="BB100" s="153"/>
      <c r="BC100" s="153"/>
      <c r="BD100" s="147"/>
      <c r="BE100" s="152"/>
      <c r="BF100" s="153"/>
      <c r="BG100" s="153"/>
      <c r="BH100" s="147"/>
      <c r="BI100" s="152"/>
      <c r="BJ100" s="153"/>
      <c r="BK100" s="153"/>
      <c r="BL100" s="147"/>
      <c r="BM100" s="152"/>
      <c r="BN100" s="153"/>
      <c r="BO100" s="153"/>
      <c r="BP100" s="147"/>
      <c r="BQ100" s="152"/>
      <c r="BR100" s="153"/>
      <c r="BS100" s="153"/>
      <c r="BT100" s="147"/>
      <c r="BU100" s="152"/>
      <c r="BV100" s="153"/>
      <c r="BW100" s="153"/>
      <c r="BX100" s="147"/>
      <c r="BY100" s="152"/>
      <c r="BZ100" s="153"/>
      <c r="CA100" s="153"/>
      <c r="CB100" s="147"/>
      <c r="CC100" s="152"/>
      <c r="CD100" s="153"/>
      <c r="CE100" s="153"/>
      <c r="CF100" s="147"/>
      <c r="CG100" s="154"/>
      <c r="CH100" s="155">
        <f t="shared" ref="CH100" si="1931">I100+M100+Q100+U100+Y100+AC100+AG100+AK100+AO100+BA100</f>
        <v>0</v>
      </c>
      <c r="CI100" s="150">
        <f t="shared" ref="CI100:CI120" si="1932">CH100*F100</f>
        <v>0</v>
      </c>
      <c r="CJ100" s="150">
        <f t="shared" ref="CJ100:CJ120" si="1933">CH100*G100</f>
        <v>0</v>
      </c>
      <c r="CK100" s="156">
        <f t="shared" ref="CK100" si="1934">SUM(CI100:CJ100)</f>
        <v>0</v>
      </c>
      <c r="CL100" s="153">
        <f t="shared" ref="CL100:CL120" si="1935">D100-CH100</f>
        <v>0</v>
      </c>
      <c r="CM100" s="157">
        <f t="shared" ref="CM100:CM120" si="1936">H100-CK100</f>
        <v>1000000</v>
      </c>
      <c r="CO100" s="159"/>
      <c r="CP100" s="159"/>
    </row>
    <row r="101" spans="1:94" ht="26.25" customHeight="1" x14ac:dyDescent="0.25">
      <c r="A101" s="32"/>
      <c r="B101" s="74">
        <v>83</v>
      </c>
      <c r="C101" s="113"/>
      <c r="D101" s="112"/>
      <c r="E101" s="112"/>
      <c r="F101" s="166"/>
      <c r="G101" s="167"/>
      <c r="H101" s="115"/>
      <c r="I101" s="168"/>
      <c r="J101" s="67"/>
      <c r="K101" s="67"/>
      <c r="L101" s="45"/>
      <c r="M101" s="168"/>
      <c r="N101" s="67"/>
      <c r="O101" s="67"/>
      <c r="P101" s="45"/>
      <c r="Q101" s="168"/>
      <c r="R101" s="67"/>
      <c r="S101" s="67"/>
      <c r="T101" s="45"/>
      <c r="U101" s="168"/>
      <c r="V101" s="67"/>
      <c r="W101" s="67"/>
      <c r="X101" s="45"/>
      <c r="Y101" s="168"/>
      <c r="Z101" s="67"/>
      <c r="AA101" s="67"/>
      <c r="AB101" s="45"/>
      <c r="AC101" s="168"/>
      <c r="AD101" s="67"/>
      <c r="AE101" s="67"/>
      <c r="AF101" s="45"/>
      <c r="AG101" s="168"/>
      <c r="AH101" s="67"/>
      <c r="AI101" s="67"/>
      <c r="AJ101" s="45"/>
      <c r="AK101" s="168"/>
      <c r="AL101" s="67"/>
      <c r="AM101" s="67"/>
      <c r="AN101" s="45"/>
      <c r="AO101" s="168"/>
      <c r="AP101" s="67"/>
      <c r="AQ101" s="67"/>
      <c r="AR101" s="45"/>
      <c r="AS101" s="168"/>
      <c r="AT101" s="67"/>
      <c r="AU101" s="67"/>
      <c r="AV101" s="45"/>
      <c r="AW101" s="168"/>
      <c r="AX101" s="67"/>
      <c r="AY101" s="67"/>
      <c r="AZ101" s="45"/>
      <c r="BA101" s="168"/>
      <c r="BB101" s="67"/>
      <c r="BC101" s="67"/>
      <c r="BD101" s="45"/>
      <c r="BE101" s="168"/>
      <c r="BF101" s="67"/>
      <c r="BG101" s="67"/>
      <c r="BH101" s="45"/>
      <c r="BI101" s="168"/>
      <c r="BJ101" s="67"/>
      <c r="BK101" s="67"/>
      <c r="BL101" s="45"/>
      <c r="BM101" s="168"/>
      <c r="BN101" s="67"/>
      <c r="BO101" s="67"/>
      <c r="BP101" s="45"/>
      <c r="BQ101" s="168"/>
      <c r="BR101" s="67"/>
      <c r="BS101" s="67"/>
      <c r="BT101" s="45"/>
      <c r="BU101" s="168"/>
      <c r="BV101" s="67"/>
      <c r="BW101" s="67"/>
      <c r="BX101" s="45"/>
      <c r="BY101" s="168"/>
      <c r="BZ101" s="67"/>
      <c r="CA101" s="67"/>
      <c r="CB101" s="45"/>
      <c r="CC101" s="168"/>
      <c r="CD101" s="67"/>
      <c r="CE101" s="67"/>
      <c r="CF101" s="45"/>
      <c r="CG101" s="136"/>
      <c r="CH101" s="169"/>
      <c r="CI101" s="166"/>
      <c r="CJ101" s="166"/>
      <c r="CK101" s="170"/>
      <c r="CL101" s="67"/>
      <c r="CM101" s="171"/>
      <c r="CO101" s="65"/>
      <c r="CP101" s="65"/>
    </row>
    <row r="102" spans="1:94" s="104" customFormat="1" ht="26.25" customHeight="1" x14ac:dyDescent="0.25">
      <c r="A102" s="97"/>
      <c r="B102" s="98"/>
      <c r="C102" s="102" t="s">
        <v>81</v>
      </c>
      <c r="D102" s="110"/>
      <c r="E102" s="110"/>
      <c r="F102" s="106"/>
      <c r="G102" s="108"/>
      <c r="H102" s="165">
        <f>H129*0.35</f>
        <v>1400000</v>
      </c>
      <c r="I102" s="46"/>
      <c r="J102" s="49"/>
      <c r="K102" s="49"/>
      <c r="L102" s="107"/>
      <c r="M102" s="46"/>
      <c r="N102" s="49"/>
      <c r="O102" s="49"/>
      <c r="P102" s="107"/>
      <c r="Q102" s="46"/>
      <c r="R102" s="49"/>
      <c r="S102" s="49"/>
      <c r="T102" s="107"/>
      <c r="U102" s="46"/>
      <c r="V102" s="49"/>
      <c r="W102" s="49"/>
      <c r="X102" s="107"/>
      <c r="Y102" s="46"/>
      <c r="Z102" s="49"/>
      <c r="AA102" s="49"/>
      <c r="AB102" s="107"/>
      <c r="AC102" s="46"/>
      <c r="AD102" s="49"/>
      <c r="AE102" s="49"/>
      <c r="AF102" s="107"/>
      <c r="AG102" s="46"/>
      <c r="AH102" s="49"/>
      <c r="AI102" s="49"/>
      <c r="AJ102" s="107"/>
      <c r="AK102" s="46"/>
      <c r="AL102" s="49"/>
      <c r="AM102" s="49"/>
      <c r="AN102" s="107"/>
      <c r="AO102" s="46"/>
      <c r="AP102" s="49"/>
      <c r="AQ102" s="49"/>
      <c r="AR102" s="107"/>
      <c r="AS102" s="46"/>
      <c r="AT102" s="49"/>
      <c r="AU102" s="49"/>
      <c r="AV102" s="107"/>
      <c r="AW102" s="46"/>
      <c r="AX102" s="49"/>
      <c r="AY102" s="49"/>
      <c r="AZ102" s="107"/>
      <c r="BA102" s="46"/>
      <c r="BB102" s="49"/>
      <c r="BC102" s="49"/>
      <c r="BD102" s="107"/>
      <c r="BE102" s="46"/>
      <c r="BF102" s="49"/>
      <c r="BG102" s="49"/>
      <c r="BH102" s="107"/>
      <c r="BI102" s="46"/>
      <c r="BJ102" s="49"/>
      <c r="BK102" s="49"/>
      <c r="BL102" s="107"/>
      <c r="BM102" s="46"/>
      <c r="BN102" s="49"/>
      <c r="BO102" s="49"/>
      <c r="BP102" s="107"/>
      <c r="BQ102" s="46"/>
      <c r="BR102" s="49"/>
      <c r="BS102" s="49"/>
      <c r="BT102" s="107"/>
      <c r="BU102" s="46"/>
      <c r="BV102" s="49"/>
      <c r="BW102" s="49"/>
      <c r="BX102" s="107"/>
      <c r="BY102" s="46"/>
      <c r="BZ102" s="49"/>
      <c r="CA102" s="49"/>
      <c r="CB102" s="107"/>
      <c r="CC102" s="46"/>
      <c r="CD102" s="49"/>
      <c r="CE102" s="49"/>
      <c r="CF102" s="107"/>
      <c r="CG102" s="140"/>
      <c r="CH102" s="91"/>
      <c r="CI102" s="47">
        <f t="shared" si="1932"/>
        <v>0</v>
      </c>
      <c r="CJ102" s="47">
        <f t="shared" si="1933"/>
        <v>0</v>
      </c>
      <c r="CK102" s="48">
        <f t="shared" ref="CK102:CK120" si="1937">SUM(CI102:CJ102)</f>
        <v>0</v>
      </c>
      <c r="CL102" s="49">
        <f t="shared" si="1935"/>
        <v>0</v>
      </c>
      <c r="CM102" s="50">
        <f t="shared" si="1936"/>
        <v>1400000</v>
      </c>
      <c r="CO102" s="105"/>
      <c r="CP102" s="105"/>
    </row>
    <row r="103" spans="1:94" ht="26.25" customHeight="1" x14ac:dyDescent="0.25">
      <c r="A103" s="32"/>
      <c r="B103" s="74">
        <v>84</v>
      </c>
      <c r="C103" s="113" t="s">
        <v>36</v>
      </c>
      <c r="D103" s="112">
        <v>30</v>
      </c>
      <c r="E103" s="130">
        <f>D103-I103-M103-Q103-U103-Y103-AC103-AK103-AO103-AS103-AW103-BA103-BE103-BI103</f>
        <v>30</v>
      </c>
      <c r="F103" s="44">
        <f>H103/D103</f>
        <v>1866.6666666666667</v>
      </c>
      <c r="G103" s="116"/>
      <c r="H103" s="45">
        <f>H102*0.04</f>
        <v>56000</v>
      </c>
      <c r="I103" s="66"/>
      <c r="J103" s="67">
        <f>I103*F103</f>
        <v>0</v>
      </c>
      <c r="K103" s="67">
        <f>I103*$G$63</f>
        <v>0</v>
      </c>
      <c r="L103" s="45">
        <f t="shared" ref="L103" si="1938">SUM(J103:K103)</f>
        <v>0</v>
      </c>
      <c r="M103" s="66"/>
      <c r="N103" s="67">
        <f t="shared" ref="N103" si="1939">M103*$F$63</f>
        <v>0</v>
      </c>
      <c r="O103" s="67">
        <f t="shared" ref="O103" si="1940">M103*$G$63</f>
        <v>0</v>
      </c>
      <c r="P103" s="45">
        <f t="shared" ref="P103:P118" si="1941">SUM(N103:O103)</f>
        <v>0</v>
      </c>
      <c r="Q103" s="66"/>
      <c r="R103" s="67">
        <f t="shared" ref="R103" si="1942">Q103*$F$63</f>
        <v>0</v>
      </c>
      <c r="S103" s="67">
        <f t="shared" ref="S103" si="1943">Q103*$G$63</f>
        <v>0</v>
      </c>
      <c r="T103" s="45">
        <f t="shared" ref="T103:T118" si="1944">SUM(R103:S103)</f>
        <v>0</v>
      </c>
      <c r="U103" s="66"/>
      <c r="V103" s="67">
        <f t="shared" ref="V103" si="1945">U103*$F$63</f>
        <v>0</v>
      </c>
      <c r="W103" s="67">
        <f t="shared" ref="W103" si="1946">U103*$G$63</f>
        <v>0</v>
      </c>
      <c r="X103" s="45">
        <f t="shared" ref="X103:X118" si="1947">SUM(V103:W103)</f>
        <v>0</v>
      </c>
      <c r="Y103" s="66"/>
      <c r="Z103" s="67">
        <f t="shared" ref="Z103" si="1948">Y103*$F$63</f>
        <v>0</v>
      </c>
      <c r="AA103" s="67">
        <f t="shared" ref="AA103" si="1949">Y103*$G$63</f>
        <v>0</v>
      </c>
      <c r="AB103" s="45">
        <f t="shared" ref="AB103:AB118" si="1950">SUM(Z103:AA103)</f>
        <v>0</v>
      </c>
      <c r="AC103" s="66"/>
      <c r="AD103" s="67">
        <f t="shared" ref="AD103" si="1951">AC103*$F$63</f>
        <v>0</v>
      </c>
      <c r="AE103" s="67">
        <f t="shared" ref="AE103" si="1952">AC103*$G$63</f>
        <v>0</v>
      </c>
      <c r="AF103" s="45">
        <f t="shared" ref="AF103:AF118" si="1953">SUM(AD103:AE103)</f>
        <v>0</v>
      </c>
      <c r="AG103" s="66"/>
      <c r="AH103" s="67">
        <f t="shared" ref="AH103" si="1954">AG103*$F$63</f>
        <v>0</v>
      </c>
      <c r="AI103" s="67">
        <f t="shared" ref="AI103" si="1955">AG103*$G$63</f>
        <v>0</v>
      </c>
      <c r="AJ103" s="45">
        <f t="shared" ref="AJ103:AJ118" si="1956">SUM(AH103:AI103)</f>
        <v>0</v>
      </c>
      <c r="AK103" s="66"/>
      <c r="AL103" s="67">
        <f t="shared" ref="AL103" si="1957">AK103*$F$63</f>
        <v>0</v>
      </c>
      <c r="AM103" s="67">
        <f t="shared" ref="AM103" si="1958">AK103*$G$63</f>
        <v>0</v>
      </c>
      <c r="AN103" s="45">
        <f t="shared" ref="AN103:AN118" si="1959">SUM(AL103:AM103)</f>
        <v>0</v>
      </c>
      <c r="AO103" s="66"/>
      <c r="AP103" s="67">
        <f t="shared" ref="AP103" si="1960">AO103*$F$63</f>
        <v>0</v>
      </c>
      <c r="AQ103" s="67">
        <f t="shared" ref="AQ103" si="1961">AO103*$G$63</f>
        <v>0</v>
      </c>
      <c r="AR103" s="45">
        <f t="shared" ref="AR103:AR118" si="1962">SUM(AP103:AQ103)</f>
        <v>0</v>
      </c>
      <c r="AS103" s="66"/>
      <c r="AT103" s="67">
        <f t="shared" ref="AT103" si="1963">AS103*$F$63</f>
        <v>0</v>
      </c>
      <c r="AU103" s="67">
        <f t="shared" ref="AU103" si="1964">AS103*$G$63</f>
        <v>0</v>
      </c>
      <c r="AV103" s="45">
        <f t="shared" ref="AV103:AV118" si="1965">SUM(AT103:AU103)</f>
        <v>0</v>
      </c>
      <c r="AW103" s="66"/>
      <c r="AX103" s="67">
        <f t="shared" ref="AX103" si="1966">AW103*$F$63</f>
        <v>0</v>
      </c>
      <c r="AY103" s="67">
        <f t="shared" ref="AY103" si="1967">AW103*$G$63</f>
        <v>0</v>
      </c>
      <c r="AZ103" s="45">
        <f t="shared" ref="AZ103:AZ118" si="1968">SUM(AX103:AY103)</f>
        <v>0</v>
      </c>
      <c r="BA103" s="66"/>
      <c r="BB103" s="67">
        <f t="shared" ref="BB103" si="1969">BA103*$F$63</f>
        <v>0</v>
      </c>
      <c r="BC103" s="67"/>
      <c r="BD103" s="45">
        <f t="shared" ref="BD103:BD118" si="1970">SUM(BB103:BC103)</f>
        <v>0</v>
      </c>
      <c r="BE103" s="66"/>
      <c r="BF103" s="44">
        <f t="shared" ref="BF103:BF118" si="1971">F103*BE103</f>
        <v>0</v>
      </c>
      <c r="BG103" s="44">
        <f t="shared" ref="BG103:BG104" si="1972">G103*BE103</f>
        <v>0</v>
      </c>
      <c r="BH103" s="45">
        <f t="shared" ref="BH103:BH118" si="1973">BG103+BF103</f>
        <v>0</v>
      </c>
      <c r="BI103" s="66"/>
      <c r="BJ103" s="44">
        <f t="shared" ref="BJ103:BJ118" si="1974">BI103*F103</f>
        <v>0</v>
      </c>
      <c r="BK103" s="44"/>
      <c r="BL103" s="45">
        <f t="shared" ref="BL103:BL118" si="1975">BK103+BJ103</f>
        <v>0</v>
      </c>
      <c r="BM103" s="66"/>
      <c r="BN103" s="67">
        <f t="shared" ref="BN103:BN118" si="1976">BM103*F103</f>
        <v>0</v>
      </c>
      <c r="BO103" s="67"/>
      <c r="BP103" s="45">
        <f t="shared" ref="BP103:BP118" si="1977">BO103+BN103</f>
        <v>0</v>
      </c>
      <c r="BQ103" s="66"/>
      <c r="BR103" s="44">
        <f t="shared" ref="BR103:BR118" si="1978">BQ103*F103</f>
        <v>0</v>
      </c>
      <c r="BS103" s="67"/>
      <c r="BT103" s="45">
        <f t="shared" ref="BT103:BT118" si="1979">BS103+BR103</f>
        <v>0</v>
      </c>
      <c r="BU103" s="66"/>
      <c r="BV103" s="44">
        <f t="shared" ref="BV103:BV118" si="1980">F103*BU103</f>
        <v>0</v>
      </c>
      <c r="BW103" s="67"/>
      <c r="BX103" s="45">
        <f t="shared" ref="BX103:BX118" si="1981">BW103+BV103</f>
        <v>0</v>
      </c>
      <c r="BY103" s="66"/>
      <c r="BZ103" s="44">
        <f t="shared" ref="BZ103:BZ118" si="1982">BY103*J103</f>
        <v>0</v>
      </c>
      <c r="CA103" s="67"/>
      <c r="CB103" s="45">
        <f t="shared" ref="CB103:CB112" si="1983">CA103+BZ103</f>
        <v>0</v>
      </c>
      <c r="CC103" s="66"/>
      <c r="CD103" s="44">
        <f t="shared" ref="CD103:CD118" si="1984">CC103*N103</f>
        <v>0</v>
      </c>
      <c r="CE103" s="67"/>
      <c r="CF103" s="45">
        <f t="shared" ref="CF103:CF112" si="1985">CE103+CD103</f>
        <v>0</v>
      </c>
      <c r="CG103" s="136"/>
      <c r="CH103" s="91">
        <f t="shared" ref="CH103:CH118" si="1986">I103+M103+Q103+U103+Y103+AC103+AG103+AK103+AO103+BA103+BE103+BI103+BM103+BQ103+BU103+BY103+CC103</f>
        <v>0</v>
      </c>
      <c r="CI103" s="47">
        <f t="shared" si="1932"/>
        <v>0</v>
      </c>
      <c r="CJ103" s="47">
        <f t="shared" si="1933"/>
        <v>0</v>
      </c>
      <c r="CK103" s="48">
        <f t="shared" ref="CK103" si="1987">SUM(CI103:CJ103)</f>
        <v>0</v>
      </c>
      <c r="CL103" s="49">
        <f t="shared" si="1935"/>
        <v>30</v>
      </c>
      <c r="CM103" s="50">
        <f t="shared" si="1936"/>
        <v>56000</v>
      </c>
      <c r="CO103" s="65"/>
      <c r="CP103" s="65"/>
    </row>
    <row r="104" spans="1:94" ht="26.25" customHeight="1" x14ac:dyDescent="0.25">
      <c r="A104" s="32"/>
      <c r="B104" s="74">
        <v>85</v>
      </c>
      <c r="C104" s="113" t="s">
        <v>37</v>
      </c>
      <c r="D104" s="112">
        <v>30</v>
      </c>
      <c r="E104" s="130">
        <f t="shared" ref="E104:E118" si="1988">D104-I104-M104-Q104-U104-Y104-AC104-AK104-AO104-AS104-AW104-BA104-BE104-BI104</f>
        <v>30</v>
      </c>
      <c r="F104" s="44">
        <f t="shared" ref="F104:F107" si="1989">H104/D104</f>
        <v>1866.6666666666667</v>
      </c>
      <c r="G104" s="116"/>
      <c r="H104" s="45">
        <f>H102*0.04</f>
        <v>56000</v>
      </c>
      <c r="I104" s="66"/>
      <c r="J104" s="67">
        <f t="shared" ref="J104:J118" si="1990">I104*F104</f>
        <v>0</v>
      </c>
      <c r="K104" s="67">
        <f>I104*$G$64</f>
        <v>0</v>
      </c>
      <c r="L104" s="45">
        <f>SUM(J104:K104)</f>
        <v>0</v>
      </c>
      <c r="M104" s="66"/>
      <c r="N104" s="67">
        <f t="shared" ref="N104" si="1991">M104*$F$64</f>
        <v>0</v>
      </c>
      <c r="O104" s="67">
        <f t="shared" ref="O104" si="1992">M104*$G$64</f>
        <v>0</v>
      </c>
      <c r="P104" s="45">
        <f t="shared" si="1941"/>
        <v>0</v>
      </c>
      <c r="Q104" s="66"/>
      <c r="R104" s="67">
        <f t="shared" ref="R104" si="1993">Q104*$F$64</f>
        <v>0</v>
      </c>
      <c r="S104" s="67">
        <f t="shared" ref="S104" si="1994">Q104*$G$64</f>
        <v>0</v>
      </c>
      <c r="T104" s="45">
        <f t="shared" si="1944"/>
        <v>0</v>
      </c>
      <c r="U104" s="66"/>
      <c r="V104" s="67">
        <f t="shared" ref="V104" si="1995">U104*$F$64</f>
        <v>0</v>
      </c>
      <c r="W104" s="67">
        <f t="shared" ref="W104" si="1996">U104*$G$64</f>
        <v>0</v>
      </c>
      <c r="X104" s="45">
        <f t="shared" si="1947"/>
        <v>0</v>
      </c>
      <c r="Y104" s="66"/>
      <c r="Z104" s="67">
        <f t="shared" ref="Z104" si="1997">Y104*$F$64</f>
        <v>0</v>
      </c>
      <c r="AA104" s="67">
        <f t="shared" ref="AA104" si="1998">Y104*$G$64</f>
        <v>0</v>
      </c>
      <c r="AB104" s="45">
        <f t="shared" si="1950"/>
        <v>0</v>
      </c>
      <c r="AC104" s="66"/>
      <c r="AD104" s="67">
        <f t="shared" ref="AD104" si="1999">AC104*$F$64</f>
        <v>0</v>
      </c>
      <c r="AE104" s="67">
        <f t="shared" ref="AE104" si="2000">AC104*$G$64</f>
        <v>0</v>
      </c>
      <c r="AF104" s="45">
        <f t="shared" si="1953"/>
        <v>0</v>
      </c>
      <c r="AG104" s="66"/>
      <c r="AH104" s="67">
        <f t="shared" ref="AH104" si="2001">AG104*$F$64</f>
        <v>0</v>
      </c>
      <c r="AI104" s="67">
        <f t="shared" ref="AI104" si="2002">AG104*$G$64</f>
        <v>0</v>
      </c>
      <c r="AJ104" s="45">
        <f t="shared" si="1956"/>
        <v>0</v>
      </c>
      <c r="AK104" s="66"/>
      <c r="AL104" s="67">
        <f t="shared" ref="AL104" si="2003">AK104*$F$64</f>
        <v>0</v>
      </c>
      <c r="AM104" s="67">
        <f t="shared" ref="AM104" si="2004">AK104*$G$64</f>
        <v>0</v>
      </c>
      <c r="AN104" s="45">
        <f t="shared" si="1959"/>
        <v>0</v>
      </c>
      <c r="AO104" s="66"/>
      <c r="AP104" s="67">
        <f t="shared" ref="AP104" si="2005">AO104*$F$64</f>
        <v>0</v>
      </c>
      <c r="AQ104" s="67">
        <f t="shared" ref="AQ104" si="2006">AO104*$G$64</f>
        <v>0</v>
      </c>
      <c r="AR104" s="45">
        <f t="shared" si="1962"/>
        <v>0</v>
      </c>
      <c r="AS104" s="66"/>
      <c r="AT104" s="67">
        <f t="shared" ref="AT104" si="2007">AS104*$F$64</f>
        <v>0</v>
      </c>
      <c r="AU104" s="67">
        <f t="shared" ref="AU104" si="2008">AS104*$G$64</f>
        <v>0</v>
      </c>
      <c r="AV104" s="45">
        <f t="shared" si="1965"/>
        <v>0</v>
      </c>
      <c r="AW104" s="66"/>
      <c r="AX104" s="67">
        <f t="shared" ref="AX104" si="2009">AW104*$F$64</f>
        <v>0</v>
      </c>
      <c r="AY104" s="67">
        <f t="shared" ref="AY104" si="2010">AW104*$G$64</f>
        <v>0</v>
      </c>
      <c r="AZ104" s="45">
        <f t="shared" si="1968"/>
        <v>0</v>
      </c>
      <c r="BA104" s="66"/>
      <c r="BB104" s="67">
        <f t="shared" ref="BB104" si="2011">BA104*$F$64</f>
        <v>0</v>
      </c>
      <c r="BC104" s="67"/>
      <c r="BD104" s="45">
        <f t="shared" si="1970"/>
        <v>0</v>
      </c>
      <c r="BE104" s="66"/>
      <c r="BF104" s="44">
        <f t="shared" si="1971"/>
        <v>0</v>
      </c>
      <c r="BG104" s="44">
        <f t="shared" si="1972"/>
        <v>0</v>
      </c>
      <c r="BH104" s="45">
        <f t="shared" si="1973"/>
        <v>0</v>
      </c>
      <c r="BI104" s="66"/>
      <c r="BJ104" s="44">
        <f t="shared" si="1974"/>
        <v>0</v>
      </c>
      <c r="BK104" s="44"/>
      <c r="BL104" s="45">
        <f t="shared" si="1975"/>
        <v>0</v>
      </c>
      <c r="BM104" s="66"/>
      <c r="BN104" s="67">
        <f t="shared" si="1976"/>
        <v>0</v>
      </c>
      <c r="BO104" s="67"/>
      <c r="BP104" s="45">
        <f t="shared" si="1977"/>
        <v>0</v>
      </c>
      <c r="BQ104" s="66"/>
      <c r="BR104" s="44">
        <f t="shared" si="1978"/>
        <v>0</v>
      </c>
      <c r="BS104" s="67"/>
      <c r="BT104" s="45">
        <f t="shared" si="1979"/>
        <v>0</v>
      </c>
      <c r="BU104" s="66"/>
      <c r="BV104" s="44">
        <f t="shared" si="1980"/>
        <v>0</v>
      </c>
      <c r="BW104" s="67"/>
      <c r="BX104" s="45">
        <f t="shared" si="1981"/>
        <v>0</v>
      </c>
      <c r="BY104" s="66"/>
      <c r="BZ104" s="44">
        <f t="shared" si="1982"/>
        <v>0</v>
      </c>
      <c r="CA104" s="67"/>
      <c r="CB104" s="45">
        <f t="shared" si="1983"/>
        <v>0</v>
      </c>
      <c r="CC104" s="66"/>
      <c r="CD104" s="44">
        <f t="shared" si="1984"/>
        <v>0</v>
      </c>
      <c r="CE104" s="67"/>
      <c r="CF104" s="45">
        <f t="shared" si="1985"/>
        <v>0</v>
      </c>
      <c r="CG104" s="136"/>
      <c r="CH104" s="91">
        <f t="shared" si="1986"/>
        <v>0</v>
      </c>
      <c r="CI104" s="47">
        <f t="shared" si="1932"/>
        <v>0</v>
      </c>
      <c r="CJ104" s="47">
        <f t="shared" si="1933"/>
        <v>0</v>
      </c>
      <c r="CK104" s="48">
        <f t="shared" ref="CK104:CK118" si="2012">SUM(CI104:CJ104)</f>
        <v>0</v>
      </c>
      <c r="CL104" s="49">
        <f t="shared" si="1935"/>
        <v>30</v>
      </c>
      <c r="CM104" s="50">
        <f t="shared" si="1936"/>
        <v>56000</v>
      </c>
      <c r="CO104" s="65"/>
      <c r="CP104" s="65"/>
    </row>
    <row r="105" spans="1:94" ht="26.25" customHeight="1" x14ac:dyDescent="0.25">
      <c r="A105" s="32"/>
      <c r="B105" s="74">
        <v>86</v>
      </c>
      <c r="C105" s="113" t="s">
        <v>38</v>
      </c>
      <c r="D105" s="112">
        <v>30</v>
      </c>
      <c r="E105" s="130">
        <f t="shared" si="1988"/>
        <v>30</v>
      </c>
      <c r="F105" s="44">
        <f t="shared" si="1989"/>
        <v>2800</v>
      </c>
      <c r="G105" s="116"/>
      <c r="H105" s="45">
        <f>H102*0.06</f>
        <v>84000</v>
      </c>
      <c r="I105" s="66"/>
      <c r="J105" s="67">
        <f t="shared" si="1990"/>
        <v>0</v>
      </c>
      <c r="K105" s="67">
        <f>I105*$G$65</f>
        <v>0</v>
      </c>
      <c r="L105" s="45">
        <f t="shared" ref="L105:L118" si="2013">SUM(J105:K105)</f>
        <v>0</v>
      </c>
      <c r="M105" s="66"/>
      <c r="N105" s="67">
        <f t="shared" ref="N105" si="2014">M105*$F$65</f>
        <v>0</v>
      </c>
      <c r="O105" s="67">
        <f t="shared" ref="O105" si="2015">M105*$G$65</f>
        <v>0</v>
      </c>
      <c r="P105" s="45">
        <f t="shared" si="1941"/>
        <v>0</v>
      </c>
      <c r="Q105" s="66"/>
      <c r="R105" s="67">
        <f t="shared" ref="R105" si="2016">Q105*$F$65</f>
        <v>0</v>
      </c>
      <c r="S105" s="67">
        <f t="shared" ref="S105" si="2017">Q105*$G$65</f>
        <v>0</v>
      </c>
      <c r="T105" s="45">
        <f t="shared" si="1944"/>
        <v>0</v>
      </c>
      <c r="U105" s="66"/>
      <c r="V105" s="67">
        <f t="shared" ref="V105" si="2018">U105*$F$65</f>
        <v>0</v>
      </c>
      <c r="W105" s="67">
        <f t="shared" ref="W105" si="2019">U105*$G$65</f>
        <v>0</v>
      </c>
      <c r="X105" s="45">
        <f t="shared" si="1947"/>
        <v>0</v>
      </c>
      <c r="Y105" s="66"/>
      <c r="Z105" s="67">
        <f t="shared" ref="Z105" si="2020">Y105*$F$65</f>
        <v>0</v>
      </c>
      <c r="AA105" s="67">
        <f t="shared" ref="AA105" si="2021">Y105*$G$65</f>
        <v>0</v>
      </c>
      <c r="AB105" s="45">
        <f t="shared" si="1950"/>
        <v>0</v>
      </c>
      <c r="AC105" s="66"/>
      <c r="AD105" s="67">
        <f t="shared" ref="AD105" si="2022">AC105*$F$65</f>
        <v>0</v>
      </c>
      <c r="AE105" s="67">
        <f t="shared" ref="AE105" si="2023">AC105*$G$65</f>
        <v>0</v>
      </c>
      <c r="AF105" s="45">
        <f t="shared" si="1953"/>
        <v>0</v>
      </c>
      <c r="AG105" s="66"/>
      <c r="AH105" s="67">
        <f t="shared" ref="AH105" si="2024">AG105*$F$65</f>
        <v>0</v>
      </c>
      <c r="AI105" s="67">
        <f t="shared" ref="AI105" si="2025">AG105*$G$65</f>
        <v>0</v>
      </c>
      <c r="AJ105" s="45">
        <f t="shared" si="1956"/>
        <v>0</v>
      </c>
      <c r="AK105" s="66"/>
      <c r="AL105" s="67">
        <f t="shared" ref="AL105" si="2026">AK105*$F$65</f>
        <v>0</v>
      </c>
      <c r="AM105" s="67">
        <f t="shared" ref="AM105" si="2027">AK105*$G$65</f>
        <v>0</v>
      </c>
      <c r="AN105" s="45">
        <f t="shared" si="1959"/>
        <v>0</v>
      </c>
      <c r="AO105" s="66"/>
      <c r="AP105" s="67">
        <f t="shared" ref="AP105" si="2028">AO105*$F$65</f>
        <v>0</v>
      </c>
      <c r="AQ105" s="67">
        <f t="shared" ref="AQ105" si="2029">AO105*$G$65</f>
        <v>0</v>
      </c>
      <c r="AR105" s="45">
        <f t="shared" si="1962"/>
        <v>0</v>
      </c>
      <c r="AS105" s="66"/>
      <c r="AT105" s="67">
        <f t="shared" ref="AT105" si="2030">AS105*$F$65</f>
        <v>0</v>
      </c>
      <c r="AU105" s="67">
        <f t="shared" ref="AU105" si="2031">AS105*$G$65</f>
        <v>0</v>
      </c>
      <c r="AV105" s="45">
        <f t="shared" si="1965"/>
        <v>0</v>
      </c>
      <c r="AW105" s="66"/>
      <c r="AX105" s="67">
        <f t="shared" ref="AX105" si="2032">AW105*$F$65</f>
        <v>0</v>
      </c>
      <c r="AY105" s="67">
        <f t="shared" ref="AY105" si="2033">AW105*$G$65</f>
        <v>0</v>
      </c>
      <c r="AZ105" s="45">
        <f t="shared" si="1968"/>
        <v>0</v>
      </c>
      <c r="BA105" s="66"/>
      <c r="BB105" s="67">
        <f t="shared" ref="BB105" si="2034">BA105*$F$65</f>
        <v>0</v>
      </c>
      <c r="BC105" s="67"/>
      <c r="BD105" s="45">
        <f t="shared" si="1970"/>
        <v>0</v>
      </c>
      <c r="BE105" s="66"/>
      <c r="BF105" s="44">
        <f t="shared" si="1971"/>
        <v>0</v>
      </c>
      <c r="BG105" s="44"/>
      <c r="BH105" s="45">
        <f t="shared" si="1973"/>
        <v>0</v>
      </c>
      <c r="BI105" s="66"/>
      <c r="BJ105" s="44">
        <f t="shared" si="1974"/>
        <v>0</v>
      </c>
      <c r="BK105" s="44"/>
      <c r="BL105" s="45">
        <f t="shared" si="1975"/>
        <v>0</v>
      </c>
      <c r="BM105" s="66"/>
      <c r="BN105" s="67">
        <f t="shared" si="1976"/>
        <v>0</v>
      </c>
      <c r="BO105" s="67"/>
      <c r="BP105" s="45">
        <f t="shared" si="1977"/>
        <v>0</v>
      </c>
      <c r="BQ105" s="66"/>
      <c r="BR105" s="44">
        <f t="shared" si="1978"/>
        <v>0</v>
      </c>
      <c r="BS105" s="67"/>
      <c r="BT105" s="45">
        <f t="shared" si="1979"/>
        <v>0</v>
      </c>
      <c r="BU105" s="66"/>
      <c r="BV105" s="44">
        <f t="shared" si="1980"/>
        <v>0</v>
      </c>
      <c r="BW105" s="67"/>
      <c r="BX105" s="45">
        <f t="shared" si="1981"/>
        <v>0</v>
      </c>
      <c r="BY105" s="66"/>
      <c r="BZ105" s="44">
        <f t="shared" si="1982"/>
        <v>0</v>
      </c>
      <c r="CA105" s="67"/>
      <c r="CB105" s="45">
        <f t="shared" si="1983"/>
        <v>0</v>
      </c>
      <c r="CC105" s="66"/>
      <c r="CD105" s="44">
        <f t="shared" si="1984"/>
        <v>0</v>
      </c>
      <c r="CE105" s="67"/>
      <c r="CF105" s="45">
        <f t="shared" si="1985"/>
        <v>0</v>
      </c>
      <c r="CG105" s="136"/>
      <c r="CH105" s="91">
        <f t="shared" si="1986"/>
        <v>0</v>
      </c>
      <c r="CI105" s="47">
        <f t="shared" si="1932"/>
        <v>0</v>
      </c>
      <c r="CJ105" s="47">
        <f t="shared" si="1933"/>
        <v>0</v>
      </c>
      <c r="CK105" s="48">
        <f t="shared" si="2012"/>
        <v>0</v>
      </c>
      <c r="CL105" s="49">
        <f t="shared" si="1935"/>
        <v>30</v>
      </c>
      <c r="CM105" s="50">
        <f t="shared" si="1936"/>
        <v>84000</v>
      </c>
      <c r="CO105" s="65"/>
      <c r="CP105" s="65"/>
    </row>
    <row r="106" spans="1:94" ht="26.25" customHeight="1" x14ac:dyDescent="0.25">
      <c r="A106" s="32"/>
      <c r="B106" s="74">
        <v>87</v>
      </c>
      <c r="C106" s="113" t="s">
        <v>39</v>
      </c>
      <c r="D106" s="112">
        <v>30</v>
      </c>
      <c r="E106" s="130">
        <f t="shared" si="1988"/>
        <v>30</v>
      </c>
      <c r="F106" s="44">
        <f t="shared" si="1989"/>
        <v>2800</v>
      </c>
      <c r="G106" s="116"/>
      <c r="H106" s="45">
        <f>H102*0.06</f>
        <v>84000</v>
      </c>
      <c r="I106" s="66"/>
      <c r="J106" s="67">
        <f t="shared" si="1990"/>
        <v>0</v>
      </c>
      <c r="K106" s="67">
        <f>I106*$G$66</f>
        <v>0</v>
      </c>
      <c r="L106" s="45">
        <f t="shared" si="2013"/>
        <v>0</v>
      </c>
      <c r="M106" s="66"/>
      <c r="N106" s="67">
        <f t="shared" ref="N106" si="2035">M106*$F$66</f>
        <v>0</v>
      </c>
      <c r="O106" s="67">
        <f t="shared" ref="O106" si="2036">M106*$G$66</f>
        <v>0</v>
      </c>
      <c r="P106" s="45">
        <f t="shared" si="1941"/>
        <v>0</v>
      </c>
      <c r="Q106" s="66"/>
      <c r="R106" s="67">
        <f t="shared" ref="R106" si="2037">Q106*$F$66</f>
        <v>0</v>
      </c>
      <c r="S106" s="67">
        <f t="shared" ref="S106" si="2038">Q106*$G$66</f>
        <v>0</v>
      </c>
      <c r="T106" s="45">
        <f t="shared" si="1944"/>
        <v>0</v>
      </c>
      <c r="U106" s="66"/>
      <c r="V106" s="67">
        <f t="shared" ref="V106" si="2039">U106*$F$66</f>
        <v>0</v>
      </c>
      <c r="W106" s="67">
        <f t="shared" ref="W106" si="2040">U106*$G$66</f>
        <v>0</v>
      </c>
      <c r="X106" s="45">
        <f t="shared" si="1947"/>
        <v>0</v>
      </c>
      <c r="Y106" s="66"/>
      <c r="Z106" s="67">
        <f t="shared" ref="Z106" si="2041">Y106*$F$66</f>
        <v>0</v>
      </c>
      <c r="AA106" s="67">
        <f t="shared" ref="AA106" si="2042">Y106*$G$66</f>
        <v>0</v>
      </c>
      <c r="AB106" s="45">
        <f t="shared" si="1950"/>
        <v>0</v>
      </c>
      <c r="AC106" s="66"/>
      <c r="AD106" s="67">
        <f t="shared" ref="AD106" si="2043">AC106*$F$66</f>
        <v>0</v>
      </c>
      <c r="AE106" s="67">
        <f t="shared" ref="AE106" si="2044">AC106*$G$66</f>
        <v>0</v>
      </c>
      <c r="AF106" s="45">
        <f t="shared" si="1953"/>
        <v>0</v>
      </c>
      <c r="AG106" s="66"/>
      <c r="AH106" s="67">
        <f t="shared" ref="AH106" si="2045">AG106*$F$66</f>
        <v>0</v>
      </c>
      <c r="AI106" s="67">
        <f t="shared" ref="AI106" si="2046">AG106*$G$66</f>
        <v>0</v>
      </c>
      <c r="AJ106" s="45">
        <f t="shared" si="1956"/>
        <v>0</v>
      </c>
      <c r="AK106" s="66"/>
      <c r="AL106" s="67">
        <f t="shared" ref="AL106" si="2047">AK106*$F$66</f>
        <v>0</v>
      </c>
      <c r="AM106" s="67">
        <f t="shared" ref="AM106" si="2048">AK106*$G$66</f>
        <v>0</v>
      </c>
      <c r="AN106" s="45">
        <f t="shared" si="1959"/>
        <v>0</v>
      </c>
      <c r="AO106" s="66"/>
      <c r="AP106" s="67">
        <f t="shared" ref="AP106" si="2049">AO106*$F$66</f>
        <v>0</v>
      </c>
      <c r="AQ106" s="67">
        <f t="shared" ref="AQ106" si="2050">AO106*$G$66</f>
        <v>0</v>
      </c>
      <c r="AR106" s="45">
        <f t="shared" si="1962"/>
        <v>0</v>
      </c>
      <c r="AS106" s="66"/>
      <c r="AT106" s="67">
        <f t="shared" ref="AT106" si="2051">AS106*$F$66</f>
        <v>0</v>
      </c>
      <c r="AU106" s="67">
        <f t="shared" ref="AU106" si="2052">AS106*$G$66</f>
        <v>0</v>
      </c>
      <c r="AV106" s="45">
        <f t="shared" si="1965"/>
        <v>0</v>
      </c>
      <c r="AW106" s="66"/>
      <c r="AX106" s="67">
        <f t="shared" ref="AX106" si="2053">AW106*$F$66</f>
        <v>0</v>
      </c>
      <c r="AY106" s="67">
        <f t="shared" ref="AY106" si="2054">AW106*$G$66</f>
        <v>0</v>
      </c>
      <c r="AZ106" s="45">
        <f t="shared" si="1968"/>
        <v>0</v>
      </c>
      <c r="BA106" s="66"/>
      <c r="BB106" s="67">
        <f t="shared" ref="BB106" si="2055">BA106*$F$66</f>
        <v>0</v>
      </c>
      <c r="BC106" s="67"/>
      <c r="BD106" s="45">
        <f t="shared" si="1970"/>
        <v>0</v>
      </c>
      <c r="BE106" s="66"/>
      <c r="BF106" s="44">
        <f t="shared" si="1971"/>
        <v>0</v>
      </c>
      <c r="BG106" s="44"/>
      <c r="BH106" s="45">
        <f t="shared" si="1973"/>
        <v>0</v>
      </c>
      <c r="BI106" s="66"/>
      <c r="BJ106" s="44">
        <f t="shared" si="1974"/>
        <v>0</v>
      </c>
      <c r="BK106" s="44"/>
      <c r="BL106" s="45">
        <f t="shared" si="1975"/>
        <v>0</v>
      </c>
      <c r="BM106" s="66"/>
      <c r="BN106" s="67">
        <f t="shared" si="1976"/>
        <v>0</v>
      </c>
      <c r="BO106" s="67"/>
      <c r="BP106" s="45">
        <f t="shared" si="1977"/>
        <v>0</v>
      </c>
      <c r="BQ106" s="66"/>
      <c r="BR106" s="44">
        <f t="shared" si="1978"/>
        <v>0</v>
      </c>
      <c r="BS106" s="67"/>
      <c r="BT106" s="45">
        <f t="shared" si="1979"/>
        <v>0</v>
      </c>
      <c r="BU106" s="66"/>
      <c r="BV106" s="44">
        <f t="shared" si="1980"/>
        <v>0</v>
      </c>
      <c r="BW106" s="67"/>
      <c r="BX106" s="45">
        <f t="shared" si="1981"/>
        <v>0</v>
      </c>
      <c r="BY106" s="66"/>
      <c r="BZ106" s="44">
        <f t="shared" si="1982"/>
        <v>0</v>
      </c>
      <c r="CA106" s="67"/>
      <c r="CB106" s="45">
        <f t="shared" si="1983"/>
        <v>0</v>
      </c>
      <c r="CC106" s="66"/>
      <c r="CD106" s="44">
        <f t="shared" si="1984"/>
        <v>0</v>
      </c>
      <c r="CE106" s="67"/>
      <c r="CF106" s="45">
        <f t="shared" si="1985"/>
        <v>0</v>
      </c>
      <c r="CG106" s="136"/>
      <c r="CH106" s="91">
        <f t="shared" si="1986"/>
        <v>0</v>
      </c>
      <c r="CI106" s="47">
        <f t="shared" si="1932"/>
        <v>0</v>
      </c>
      <c r="CJ106" s="47">
        <f t="shared" si="1933"/>
        <v>0</v>
      </c>
      <c r="CK106" s="48">
        <f t="shared" si="2012"/>
        <v>0</v>
      </c>
      <c r="CL106" s="49">
        <f t="shared" si="1935"/>
        <v>30</v>
      </c>
      <c r="CM106" s="50">
        <f t="shared" si="1936"/>
        <v>84000</v>
      </c>
      <c r="CO106" s="65"/>
      <c r="CP106" s="65"/>
    </row>
    <row r="107" spans="1:94" ht="26.25" customHeight="1" x14ac:dyDescent="0.25">
      <c r="A107" s="32"/>
      <c r="B107" s="74">
        <v>88</v>
      </c>
      <c r="C107" s="113" t="s">
        <v>57</v>
      </c>
      <c r="D107" s="112">
        <v>30</v>
      </c>
      <c r="E107" s="130">
        <f t="shared" si="1988"/>
        <v>30</v>
      </c>
      <c r="F107" s="44">
        <f t="shared" si="1989"/>
        <v>2333.3333333333335</v>
      </c>
      <c r="G107" s="116"/>
      <c r="H107" s="45">
        <f>H102*0.05</f>
        <v>70000</v>
      </c>
      <c r="I107" s="66"/>
      <c r="J107" s="67">
        <f t="shared" si="1990"/>
        <v>0</v>
      </c>
      <c r="K107" s="67">
        <f>I107*$G$67</f>
        <v>0</v>
      </c>
      <c r="L107" s="45">
        <f t="shared" si="2013"/>
        <v>0</v>
      </c>
      <c r="M107" s="66"/>
      <c r="N107" s="67">
        <f t="shared" ref="N107" si="2056">M107*$F$67</f>
        <v>0</v>
      </c>
      <c r="O107" s="67">
        <f t="shared" ref="O107" si="2057">M107*$G$67</f>
        <v>0</v>
      </c>
      <c r="P107" s="45">
        <f t="shared" si="1941"/>
        <v>0</v>
      </c>
      <c r="Q107" s="66"/>
      <c r="R107" s="67">
        <f t="shared" ref="R107" si="2058">Q107*$F$67</f>
        <v>0</v>
      </c>
      <c r="S107" s="67">
        <f t="shared" ref="S107" si="2059">Q107*$G$67</f>
        <v>0</v>
      </c>
      <c r="T107" s="45">
        <f t="shared" si="1944"/>
        <v>0</v>
      </c>
      <c r="U107" s="66"/>
      <c r="V107" s="67">
        <f t="shared" ref="V107" si="2060">U107*$F$67</f>
        <v>0</v>
      </c>
      <c r="W107" s="67">
        <f t="shared" ref="W107" si="2061">U107*$G$67</f>
        <v>0</v>
      </c>
      <c r="X107" s="45">
        <f t="shared" si="1947"/>
        <v>0</v>
      </c>
      <c r="Y107" s="66"/>
      <c r="Z107" s="67">
        <f t="shared" ref="Z107" si="2062">Y107*$F$67</f>
        <v>0</v>
      </c>
      <c r="AA107" s="67">
        <f t="shared" ref="AA107" si="2063">Y107*$G$67</f>
        <v>0</v>
      </c>
      <c r="AB107" s="45">
        <f t="shared" si="1950"/>
        <v>0</v>
      </c>
      <c r="AC107" s="66"/>
      <c r="AD107" s="67">
        <f t="shared" ref="AD107" si="2064">AC107*$F$67</f>
        <v>0</v>
      </c>
      <c r="AE107" s="67">
        <f t="shared" ref="AE107" si="2065">AC107*$G$67</f>
        <v>0</v>
      </c>
      <c r="AF107" s="45">
        <f t="shared" si="1953"/>
        <v>0</v>
      </c>
      <c r="AG107" s="66"/>
      <c r="AH107" s="67">
        <f t="shared" ref="AH107" si="2066">AG107*$F$67</f>
        <v>0</v>
      </c>
      <c r="AI107" s="67">
        <f t="shared" ref="AI107" si="2067">AG107*$G$67</f>
        <v>0</v>
      </c>
      <c r="AJ107" s="45">
        <f t="shared" si="1956"/>
        <v>0</v>
      </c>
      <c r="AK107" s="66"/>
      <c r="AL107" s="67">
        <f t="shared" ref="AL107" si="2068">AK107*$F$67</f>
        <v>0</v>
      </c>
      <c r="AM107" s="67">
        <f t="shared" ref="AM107" si="2069">AK107*$G$67</f>
        <v>0</v>
      </c>
      <c r="AN107" s="45">
        <f t="shared" si="1959"/>
        <v>0</v>
      </c>
      <c r="AO107" s="66"/>
      <c r="AP107" s="67">
        <f t="shared" ref="AP107" si="2070">AO107*$F$67</f>
        <v>0</v>
      </c>
      <c r="AQ107" s="67">
        <f t="shared" ref="AQ107" si="2071">AO107*$G$67</f>
        <v>0</v>
      </c>
      <c r="AR107" s="45">
        <f t="shared" si="1962"/>
        <v>0</v>
      </c>
      <c r="AS107" s="66"/>
      <c r="AT107" s="67">
        <f t="shared" ref="AT107" si="2072">AS107*$F$67</f>
        <v>0</v>
      </c>
      <c r="AU107" s="67">
        <f t="shared" ref="AU107" si="2073">AS107*$G$67</f>
        <v>0</v>
      </c>
      <c r="AV107" s="45">
        <f t="shared" si="1965"/>
        <v>0</v>
      </c>
      <c r="AW107" s="66"/>
      <c r="AX107" s="67">
        <f t="shared" ref="AX107" si="2074">AW107*$F$67</f>
        <v>0</v>
      </c>
      <c r="AY107" s="67">
        <f t="shared" ref="AY107" si="2075">AW107*$G$67</f>
        <v>0</v>
      </c>
      <c r="AZ107" s="45">
        <f t="shared" si="1968"/>
        <v>0</v>
      </c>
      <c r="BA107" s="66"/>
      <c r="BB107" s="67">
        <f t="shared" ref="BB107" si="2076">BA107*$F$67</f>
        <v>0</v>
      </c>
      <c r="BC107" s="67"/>
      <c r="BD107" s="45">
        <f t="shared" si="1970"/>
        <v>0</v>
      </c>
      <c r="BE107" s="66"/>
      <c r="BF107" s="44">
        <f t="shared" si="1971"/>
        <v>0</v>
      </c>
      <c r="BG107" s="44"/>
      <c r="BH107" s="45">
        <f t="shared" si="1973"/>
        <v>0</v>
      </c>
      <c r="BI107" s="66"/>
      <c r="BJ107" s="44">
        <f t="shared" si="1974"/>
        <v>0</v>
      </c>
      <c r="BK107" s="44"/>
      <c r="BL107" s="45">
        <f t="shared" si="1975"/>
        <v>0</v>
      </c>
      <c r="BM107" s="66"/>
      <c r="BN107" s="67">
        <f t="shared" si="1976"/>
        <v>0</v>
      </c>
      <c r="BO107" s="67"/>
      <c r="BP107" s="45">
        <f t="shared" si="1977"/>
        <v>0</v>
      </c>
      <c r="BQ107" s="66"/>
      <c r="BR107" s="44">
        <f t="shared" si="1978"/>
        <v>0</v>
      </c>
      <c r="BS107" s="67"/>
      <c r="BT107" s="45">
        <f t="shared" si="1979"/>
        <v>0</v>
      </c>
      <c r="BU107" s="66"/>
      <c r="BV107" s="44">
        <f t="shared" si="1980"/>
        <v>0</v>
      </c>
      <c r="BW107" s="67"/>
      <c r="BX107" s="45">
        <f t="shared" si="1981"/>
        <v>0</v>
      </c>
      <c r="BY107" s="66"/>
      <c r="BZ107" s="44">
        <f t="shared" si="1982"/>
        <v>0</v>
      </c>
      <c r="CA107" s="67"/>
      <c r="CB107" s="45">
        <f t="shared" si="1983"/>
        <v>0</v>
      </c>
      <c r="CC107" s="66"/>
      <c r="CD107" s="44">
        <f t="shared" si="1984"/>
        <v>0</v>
      </c>
      <c r="CE107" s="67"/>
      <c r="CF107" s="45">
        <f t="shared" si="1985"/>
        <v>0</v>
      </c>
      <c r="CG107" s="136"/>
      <c r="CH107" s="91">
        <f t="shared" si="1986"/>
        <v>0</v>
      </c>
      <c r="CI107" s="47">
        <f t="shared" si="1932"/>
        <v>0</v>
      </c>
      <c r="CJ107" s="47">
        <f t="shared" si="1933"/>
        <v>0</v>
      </c>
      <c r="CK107" s="48">
        <f t="shared" si="2012"/>
        <v>0</v>
      </c>
      <c r="CL107" s="49">
        <f t="shared" si="1935"/>
        <v>30</v>
      </c>
      <c r="CM107" s="50">
        <f t="shared" si="1936"/>
        <v>70000</v>
      </c>
      <c r="CO107" s="65"/>
      <c r="CP107" s="65"/>
    </row>
    <row r="108" spans="1:94" ht="26.25" customHeight="1" x14ac:dyDescent="0.25">
      <c r="A108" s="32"/>
      <c r="B108" s="74">
        <v>89</v>
      </c>
      <c r="C108" s="113" t="s">
        <v>58</v>
      </c>
      <c r="D108" s="112">
        <v>30</v>
      </c>
      <c r="E108" s="130">
        <f t="shared" si="1988"/>
        <v>30</v>
      </c>
      <c r="F108" s="44">
        <f>H108/D108</f>
        <v>5133.333333333333</v>
      </c>
      <c r="G108" s="116"/>
      <c r="H108" s="45">
        <f>H102*0.11</f>
        <v>154000</v>
      </c>
      <c r="I108" s="66"/>
      <c r="J108" s="67">
        <f t="shared" si="1990"/>
        <v>0</v>
      </c>
      <c r="K108" s="67">
        <f>I108*$G$68</f>
        <v>0</v>
      </c>
      <c r="L108" s="45">
        <f t="shared" si="2013"/>
        <v>0</v>
      </c>
      <c r="M108" s="66"/>
      <c r="N108" s="67">
        <f t="shared" ref="N108" si="2077">M108*$F$68</f>
        <v>0</v>
      </c>
      <c r="O108" s="67">
        <f t="shared" ref="O108" si="2078">M108*$G$68</f>
        <v>0</v>
      </c>
      <c r="P108" s="45">
        <f t="shared" si="1941"/>
        <v>0</v>
      </c>
      <c r="Q108" s="66"/>
      <c r="R108" s="67">
        <f t="shared" ref="R108" si="2079">Q108*$F$68</f>
        <v>0</v>
      </c>
      <c r="S108" s="67">
        <f t="shared" ref="S108" si="2080">Q108*$G$68</f>
        <v>0</v>
      </c>
      <c r="T108" s="45">
        <f t="shared" si="1944"/>
        <v>0</v>
      </c>
      <c r="U108" s="66"/>
      <c r="V108" s="67">
        <f t="shared" ref="V108" si="2081">U108*$F$68</f>
        <v>0</v>
      </c>
      <c r="W108" s="67">
        <f t="shared" ref="W108" si="2082">U108*$G$68</f>
        <v>0</v>
      </c>
      <c r="X108" s="45">
        <f t="shared" si="1947"/>
        <v>0</v>
      </c>
      <c r="Y108" s="66"/>
      <c r="Z108" s="67">
        <f t="shared" ref="Z108" si="2083">Y108*$F$68</f>
        <v>0</v>
      </c>
      <c r="AA108" s="67">
        <f t="shared" ref="AA108" si="2084">Y108*$G$68</f>
        <v>0</v>
      </c>
      <c r="AB108" s="45">
        <f t="shared" si="1950"/>
        <v>0</v>
      </c>
      <c r="AC108" s="66"/>
      <c r="AD108" s="67">
        <f t="shared" ref="AD108" si="2085">AC108*$F$68</f>
        <v>0</v>
      </c>
      <c r="AE108" s="67">
        <f t="shared" ref="AE108" si="2086">AC108*$G$68</f>
        <v>0</v>
      </c>
      <c r="AF108" s="45">
        <f t="shared" si="1953"/>
        <v>0</v>
      </c>
      <c r="AG108" s="66"/>
      <c r="AH108" s="67">
        <f t="shared" ref="AH108" si="2087">AG108*$F$68</f>
        <v>0</v>
      </c>
      <c r="AI108" s="67">
        <f t="shared" ref="AI108" si="2088">AG108*$G$68</f>
        <v>0</v>
      </c>
      <c r="AJ108" s="45">
        <f t="shared" si="1956"/>
        <v>0</v>
      </c>
      <c r="AK108" s="66"/>
      <c r="AL108" s="67">
        <f t="shared" ref="AL108" si="2089">AK108*$F$68</f>
        <v>0</v>
      </c>
      <c r="AM108" s="67">
        <f t="shared" ref="AM108" si="2090">AK108*$G$68</f>
        <v>0</v>
      </c>
      <c r="AN108" s="45">
        <f t="shared" si="1959"/>
        <v>0</v>
      </c>
      <c r="AO108" s="66"/>
      <c r="AP108" s="67">
        <f t="shared" ref="AP108" si="2091">AO108*$F$68</f>
        <v>0</v>
      </c>
      <c r="AQ108" s="67">
        <f t="shared" ref="AQ108" si="2092">AO108*$G$68</f>
        <v>0</v>
      </c>
      <c r="AR108" s="45">
        <f t="shared" si="1962"/>
        <v>0</v>
      </c>
      <c r="AS108" s="66"/>
      <c r="AT108" s="67">
        <f t="shared" ref="AT108" si="2093">AS108*$F$68</f>
        <v>0</v>
      </c>
      <c r="AU108" s="67">
        <f t="shared" ref="AU108" si="2094">AS108*$G$68</f>
        <v>0</v>
      </c>
      <c r="AV108" s="45">
        <f t="shared" si="1965"/>
        <v>0</v>
      </c>
      <c r="AW108" s="66"/>
      <c r="AX108" s="67">
        <f t="shared" ref="AX108" si="2095">AW108*$F$68</f>
        <v>0</v>
      </c>
      <c r="AY108" s="67">
        <f t="shared" ref="AY108" si="2096">AW108*$G$68</f>
        <v>0</v>
      </c>
      <c r="AZ108" s="45">
        <f t="shared" si="1968"/>
        <v>0</v>
      </c>
      <c r="BA108" s="66"/>
      <c r="BB108" s="67">
        <f t="shared" ref="BB108" si="2097">BA108*$F$68</f>
        <v>0</v>
      </c>
      <c r="BC108" s="67"/>
      <c r="BD108" s="45">
        <f t="shared" si="1970"/>
        <v>0</v>
      </c>
      <c r="BE108" s="66"/>
      <c r="BF108" s="44">
        <f t="shared" si="1971"/>
        <v>0</v>
      </c>
      <c r="BG108" s="44"/>
      <c r="BH108" s="45">
        <f t="shared" si="1973"/>
        <v>0</v>
      </c>
      <c r="BI108" s="66"/>
      <c r="BJ108" s="44">
        <f t="shared" si="1974"/>
        <v>0</v>
      </c>
      <c r="BK108" s="44"/>
      <c r="BL108" s="45">
        <f t="shared" si="1975"/>
        <v>0</v>
      </c>
      <c r="BM108" s="66"/>
      <c r="BN108" s="67">
        <f t="shared" si="1976"/>
        <v>0</v>
      </c>
      <c r="BO108" s="67"/>
      <c r="BP108" s="45">
        <f t="shared" si="1977"/>
        <v>0</v>
      </c>
      <c r="BQ108" s="66"/>
      <c r="BR108" s="44">
        <f t="shared" si="1978"/>
        <v>0</v>
      </c>
      <c r="BS108" s="67"/>
      <c r="BT108" s="45">
        <f t="shared" si="1979"/>
        <v>0</v>
      </c>
      <c r="BU108" s="66"/>
      <c r="BV108" s="44">
        <f t="shared" si="1980"/>
        <v>0</v>
      </c>
      <c r="BW108" s="67"/>
      <c r="BX108" s="45">
        <f t="shared" si="1981"/>
        <v>0</v>
      </c>
      <c r="BY108" s="66"/>
      <c r="BZ108" s="44">
        <f t="shared" si="1982"/>
        <v>0</v>
      </c>
      <c r="CA108" s="67"/>
      <c r="CB108" s="45">
        <f t="shared" si="1983"/>
        <v>0</v>
      </c>
      <c r="CC108" s="66"/>
      <c r="CD108" s="44">
        <f t="shared" si="1984"/>
        <v>0</v>
      </c>
      <c r="CE108" s="67"/>
      <c r="CF108" s="45">
        <f t="shared" si="1985"/>
        <v>0</v>
      </c>
      <c r="CG108" s="136"/>
      <c r="CH108" s="91">
        <f t="shared" si="1986"/>
        <v>0</v>
      </c>
      <c r="CI108" s="47">
        <f t="shared" si="1932"/>
        <v>0</v>
      </c>
      <c r="CJ108" s="47">
        <f t="shared" si="1933"/>
        <v>0</v>
      </c>
      <c r="CK108" s="48">
        <f t="shared" si="2012"/>
        <v>0</v>
      </c>
      <c r="CL108" s="49">
        <f t="shared" si="1935"/>
        <v>30</v>
      </c>
      <c r="CM108" s="50">
        <f t="shared" si="1936"/>
        <v>154000</v>
      </c>
      <c r="CO108" s="65"/>
      <c r="CP108" s="65"/>
    </row>
    <row r="109" spans="1:94" ht="26.25" customHeight="1" x14ac:dyDescent="0.25">
      <c r="A109" s="32"/>
      <c r="B109" s="74">
        <v>90</v>
      </c>
      <c r="C109" s="113" t="s">
        <v>59</v>
      </c>
      <c r="D109" s="112">
        <v>30</v>
      </c>
      <c r="E109" s="130">
        <f t="shared" si="1988"/>
        <v>30</v>
      </c>
      <c r="F109" s="44">
        <f t="shared" ref="F109:F116" si="2098">H109/D109</f>
        <v>5833.333333333333</v>
      </c>
      <c r="G109" s="116"/>
      <c r="H109" s="45">
        <f>H102*0.125</f>
        <v>175000</v>
      </c>
      <c r="I109" s="66"/>
      <c r="J109" s="67">
        <f t="shared" si="1990"/>
        <v>0</v>
      </c>
      <c r="K109" s="67">
        <f>I109*$G$69</f>
        <v>0</v>
      </c>
      <c r="L109" s="45">
        <f t="shared" si="2013"/>
        <v>0</v>
      </c>
      <c r="M109" s="66"/>
      <c r="N109" s="67">
        <f>M109*$F$69</f>
        <v>0</v>
      </c>
      <c r="O109" s="67">
        <f t="shared" ref="O109" si="2099">M109*$G$69</f>
        <v>0</v>
      </c>
      <c r="P109" s="45">
        <f t="shared" si="1941"/>
        <v>0</v>
      </c>
      <c r="Q109" s="66"/>
      <c r="R109" s="67">
        <f t="shared" ref="R109" si="2100">Q109*$F$69</f>
        <v>0</v>
      </c>
      <c r="S109" s="67">
        <f t="shared" ref="S109" si="2101">Q109*$G$69</f>
        <v>0</v>
      </c>
      <c r="T109" s="45">
        <f t="shared" si="1944"/>
        <v>0</v>
      </c>
      <c r="U109" s="66"/>
      <c r="V109" s="67">
        <f t="shared" ref="V109" si="2102">U109*$F$69</f>
        <v>0</v>
      </c>
      <c r="W109" s="67">
        <f t="shared" ref="W109" si="2103">U109*$G$69</f>
        <v>0</v>
      </c>
      <c r="X109" s="45">
        <f t="shared" si="1947"/>
        <v>0</v>
      </c>
      <c r="Y109" s="66"/>
      <c r="Z109" s="67">
        <f t="shared" ref="Z109" si="2104">Y109*$F$69</f>
        <v>0</v>
      </c>
      <c r="AA109" s="67">
        <f t="shared" ref="AA109" si="2105">Y109*$G$69</f>
        <v>0</v>
      </c>
      <c r="AB109" s="45">
        <f t="shared" si="1950"/>
        <v>0</v>
      </c>
      <c r="AC109" s="66"/>
      <c r="AD109" s="67">
        <f t="shared" ref="AD109" si="2106">AC109*$F$69</f>
        <v>0</v>
      </c>
      <c r="AE109" s="67">
        <f t="shared" ref="AE109" si="2107">AC109*$G$69</f>
        <v>0</v>
      </c>
      <c r="AF109" s="45">
        <f t="shared" si="1953"/>
        <v>0</v>
      </c>
      <c r="AG109" s="66"/>
      <c r="AH109" s="67">
        <f t="shared" ref="AH109" si="2108">AG109*$F$69</f>
        <v>0</v>
      </c>
      <c r="AI109" s="67">
        <f t="shared" ref="AI109" si="2109">AG109*$G$69</f>
        <v>0</v>
      </c>
      <c r="AJ109" s="45">
        <f t="shared" si="1956"/>
        <v>0</v>
      </c>
      <c r="AK109" s="66"/>
      <c r="AL109" s="67">
        <f t="shared" ref="AL109" si="2110">AK109*$F$69</f>
        <v>0</v>
      </c>
      <c r="AM109" s="67">
        <f t="shared" ref="AM109" si="2111">AK109*$G$69</f>
        <v>0</v>
      </c>
      <c r="AN109" s="45">
        <f t="shared" si="1959"/>
        <v>0</v>
      </c>
      <c r="AO109" s="66"/>
      <c r="AP109" s="67">
        <f t="shared" ref="AP109" si="2112">AO109*$F$69</f>
        <v>0</v>
      </c>
      <c r="AQ109" s="67">
        <f t="shared" ref="AQ109" si="2113">AO109*$G$69</f>
        <v>0</v>
      </c>
      <c r="AR109" s="45">
        <f t="shared" si="1962"/>
        <v>0</v>
      </c>
      <c r="AS109" s="66"/>
      <c r="AT109" s="67">
        <f t="shared" ref="AT109" si="2114">AS109*$F$69</f>
        <v>0</v>
      </c>
      <c r="AU109" s="67">
        <f t="shared" ref="AU109" si="2115">AS109*$G$69</f>
        <v>0</v>
      </c>
      <c r="AV109" s="45">
        <f t="shared" si="1965"/>
        <v>0</v>
      </c>
      <c r="AW109" s="66"/>
      <c r="AX109" s="67">
        <f t="shared" ref="AX109" si="2116">AW109*$F$69</f>
        <v>0</v>
      </c>
      <c r="AY109" s="67">
        <f t="shared" ref="AY109" si="2117">AW109*$G$69</f>
        <v>0</v>
      </c>
      <c r="AZ109" s="45">
        <f t="shared" si="1968"/>
        <v>0</v>
      </c>
      <c r="BA109" s="66"/>
      <c r="BB109" s="67">
        <f t="shared" ref="BB109" si="2118">BA109*$F$69</f>
        <v>0</v>
      </c>
      <c r="BC109" s="67"/>
      <c r="BD109" s="45">
        <f t="shared" si="1970"/>
        <v>0</v>
      </c>
      <c r="BE109" s="66"/>
      <c r="BF109" s="44">
        <f t="shared" si="1971"/>
        <v>0</v>
      </c>
      <c r="BG109" s="44"/>
      <c r="BH109" s="45">
        <f t="shared" si="1973"/>
        <v>0</v>
      </c>
      <c r="BI109" s="66"/>
      <c r="BJ109" s="44">
        <f t="shared" si="1974"/>
        <v>0</v>
      </c>
      <c r="BK109" s="44"/>
      <c r="BL109" s="45">
        <f t="shared" si="1975"/>
        <v>0</v>
      </c>
      <c r="BM109" s="66"/>
      <c r="BN109" s="67">
        <f t="shared" si="1976"/>
        <v>0</v>
      </c>
      <c r="BO109" s="67"/>
      <c r="BP109" s="45">
        <f t="shared" si="1977"/>
        <v>0</v>
      </c>
      <c r="BQ109" s="66"/>
      <c r="BR109" s="44">
        <f t="shared" si="1978"/>
        <v>0</v>
      </c>
      <c r="BS109" s="67"/>
      <c r="BT109" s="45">
        <f t="shared" si="1979"/>
        <v>0</v>
      </c>
      <c r="BU109" s="66"/>
      <c r="BV109" s="44">
        <f t="shared" si="1980"/>
        <v>0</v>
      </c>
      <c r="BW109" s="67"/>
      <c r="BX109" s="45">
        <f t="shared" si="1981"/>
        <v>0</v>
      </c>
      <c r="BY109" s="66"/>
      <c r="BZ109" s="44">
        <f t="shared" si="1982"/>
        <v>0</v>
      </c>
      <c r="CA109" s="67"/>
      <c r="CB109" s="45">
        <f t="shared" si="1983"/>
        <v>0</v>
      </c>
      <c r="CC109" s="66"/>
      <c r="CD109" s="44">
        <f t="shared" si="1984"/>
        <v>0</v>
      </c>
      <c r="CE109" s="67"/>
      <c r="CF109" s="45">
        <f t="shared" si="1985"/>
        <v>0</v>
      </c>
      <c r="CG109" s="136"/>
      <c r="CH109" s="91">
        <f t="shared" si="1986"/>
        <v>0</v>
      </c>
      <c r="CI109" s="47">
        <f t="shared" si="1932"/>
        <v>0</v>
      </c>
      <c r="CJ109" s="47">
        <f t="shared" si="1933"/>
        <v>0</v>
      </c>
      <c r="CK109" s="48">
        <f t="shared" si="2012"/>
        <v>0</v>
      </c>
      <c r="CL109" s="49">
        <f t="shared" si="1935"/>
        <v>30</v>
      </c>
      <c r="CM109" s="50">
        <f t="shared" si="1936"/>
        <v>175000</v>
      </c>
      <c r="CO109" s="65"/>
      <c r="CP109" s="65"/>
    </row>
    <row r="110" spans="1:94" ht="26.25" customHeight="1" x14ac:dyDescent="0.25">
      <c r="A110" s="32"/>
      <c r="B110" s="74">
        <v>91</v>
      </c>
      <c r="C110" s="113" t="s">
        <v>40</v>
      </c>
      <c r="D110" s="112">
        <v>30</v>
      </c>
      <c r="E110" s="130">
        <f t="shared" si="1988"/>
        <v>30</v>
      </c>
      <c r="F110" s="44">
        <f t="shared" si="2098"/>
        <v>4900</v>
      </c>
      <c r="G110" s="116"/>
      <c r="H110" s="45">
        <f>H102*0.105</f>
        <v>147000</v>
      </c>
      <c r="I110" s="66"/>
      <c r="J110" s="67">
        <f t="shared" si="1990"/>
        <v>0</v>
      </c>
      <c r="K110" s="67">
        <f>I110*$G$70</f>
        <v>0</v>
      </c>
      <c r="L110" s="45">
        <f t="shared" si="2013"/>
        <v>0</v>
      </c>
      <c r="M110" s="66"/>
      <c r="N110" s="67">
        <f t="shared" ref="N110:N111" si="2119">M110*$F$70</f>
        <v>0</v>
      </c>
      <c r="O110" s="67">
        <f t="shared" ref="O110:O111" si="2120">M110*$G$70</f>
        <v>0</v>
      </c>
      <c r="P110" s="45">
        <f t="shared" si="1941"/>
        <v>0</v>
      </c>
      <c r="Q110" s="66"/>
      <c r="R110" s="67">
        <f t="shared" ref="R110:R111" si="2121">Q110*$F$70</f>
        <v>0</v>
      </c>
      <c r="S110" s="67">
        <f t="shared" ref="S110:S111" si="2122">Q110*$G$70</f>
        <v>0</v>
      </c>
      <c r="T110" s="45">
        <f t="shared" si="1944"/>
        <v>0</v>
      </c>
      <c r="U110" s="66"/>
      <c r="V110" s="67">
        <f t="shared" ref="V110:V111" si="2123">U110*$F$70</f>
        <v>0</v>
      </c>
      <c r="W110" s="67">
        <f t="shared" ref="W110:W111" si="2124">U110*$G$70</f>
        <v>0</v>
      </c>
      <c r="X110" s="45">
        <f t="shared" si="1947"/>
        <v>0</v>
      </c>
      <c r="Y110" s="66"/>
      <c r="Z110" s="67">
        <f t="shared" ref="Z110:Z111" si="2125">Y110*$F$70</f>
        <v>0</v>
      </c>
      <c r="AA110" s="67">
        <f t="shared" ref="AA110:AA111" si="2126">Y110*$G$70</f>
        <v>0</v>
      </c>
      <c r="AB110" s="45">
        <f t="shared" si="1950"/>
        <v>0</v>
      </c>
      <c r="AC110" s="66"/>
      <c r="AD110" s="67">
        <f t="shared" ref="AD110:AD111" si="2127">AC110*$F$70</f>
        <v>0</v>
      </c>
      <c r="AE110" s="67">
        <f t="shared" ref="AE110:AE111" si="2128">AC110*$G$70</f>
        <v>0</v>
      </c>
      <c r="AF110" s="45">
        <f t="shared" si="1953"/>
        <v>0</v>
      </c>
      <c r="AG110" s="66"/>
      <c r="AH110" s="67">
        <f t="shared" ref="AH110:AH111" si="2129">AG110*$F$70</f>
        <v>0</v>
      </c>
      <c r="AI110" s="67">
        <f t="shared" ref="AI110:AI111" si="2130">AG110*$G$70</f>
        <v>0</v>
      </c>
      <c r="AJ110" s="45">
        <f t="shared" si="1956"/>
        <v>0</v>
      </c>
      <c r="AK110" s="66"/>
      <c r="AL110" s="67">
        <f t="shared" ref="AL110:AL111" si="2131">AK110*$F$70</f>
        <v>0</v>
      </c>
      <c r="AM110" s="67">
        <f t="shared" ref="AM110:AM111" si="2132">AK110*$G$70</f>
        <v>0</v>
      </c>
      <c r="AN110" s="45">
        <f t="shared" si="1959"/>
        <v>0</v>
      </c>
      <c r="AO110" s="66"/>
      <c r="AP110" s="67">
        <f t="shared" ref="AP110:AP111" si="2133">AO110*$F$70</f>
        <v>0</v>
      </c>
      <c r="AQ110" s="67">
        <f t="shared" ref="AQ110:AQ111" si="2134">AO110*$G$70</f>
        <v>0</v>
      </c>
      <c r="AR110" s="45">
        <f t="shared" si="1962"/>
        <v>0</v>
      </c>
      <c r="AS110" s="66"/>
      <c r="AT110" s="67">
        <f t="shared" ref="AT110:AT111" si="2135">AS110*$F$70</f>
        <v>0</v>
      </c>
      <c r="AU110" s="67">
        <f t="shared" ref="AU110:AU111" si="2136">AS110*$G$70</f>
        <v>0</v>
      </c>
      <c r="AV110" s="45">
        <f t="shared" si="1965"/>
        <v>0</v>
      </c>
      <c r="AW110" s="66"/>
      <c r="AX110" s="67">
        <f t="shared" ref="AX110:AX111" si="2137">AW110*$F$70</f>
        <v>0</v>
      </c>
      <c r="AY110" s="67">
        <f t="shared" ref="AY110:AY111" si="2138">AW110*$G$70</f>
        <v>0</v>
      </c>
      <c r="AZ110" s="45">
        <f t="shared" si="1968"/>
        <v>0</v>
      </c>
      <c r="BA110" s="66"/>
      <c r="BB110" s="67">
        <f t="shared" ref="BB110:BB111" si="2139">BA110*$F$70</f>
        <v>0</v>
      </c>
      <c r="BC110" s="67"/>
      <c r="BD110" s="45">
        <f t="shared" si="1970"/>
        <v>0</v>
      </c>
      <c r="BE110" s="66"/>
      <c r="BF110" s="44">
        <f t="shared" si="1971"/>
        <v>0</v>
      </c>
      <c r="BG110" s="44"/>
      <c r="BH110" s="45">
        <f t="shared" si="1973"/>
        <v>0</v>
      </c>
      <c r="BI110" s="66"/>
      <c r="BJ110" s="44">
        <f t="shared" si="1974"/>
        <v>0</v>
      </c>
      <c r="BK110" s="44"/>
      <c r="BL110" s="45">
        <f t="shared" si="1975"/>
        <v>0</v>
      </c>
      <c r="BM110" s="66"/>
      <c r="BN110" s="67">
        <f t="shared" si="1976"/>
        <v>0</v>
      </c>
      <c r="BO110" s="67"/>
      <c r="BP110" s="45">
        <f t="shared" si="1977"/>
        <v>0</v>
      </c>
      <c r="BQ110" s="66"/>
      <c r="BR110" s="44">
        <f t="shared" si="1978"/>
        <v>0</v>
      </c>
      <c r="BS110" s="67"/>
      <c r="BT110" s="45">
        <f t="shared" si="1979"/>
        <v>0</v>
      </c>
      <c r="BU110" s="66"/>
      <c r="BV110" s="44">
        <f t="shared" si="1980"/>
        <v>0</v>
      </c>
      <c r="BW110" s="67"/>
      <c r="BX110" s="45">
        <f t="shared" si="1981"/>
        <v>0</v>
      </c>
      <c r="BY110" s="66"/>
      <c r="BZ110" s="44">
        <f t="shared" si="1982"/>
        <v>0</v>
      </c>
      <c r="CA110" s="67"/>
      <c r="CB110" s="45">
        <f t="shared" si="1983"/>
        <v>0</v>
      </c>
      <c r="CC110" s="66"/>
      <c r="CD110" s="44">
        <f t="shared" si="1984"/>
        <v>0</v>
      </c>
      <c r="CE110" s="67"/>
      <c r="CF110" s="45">
        <f t="shared" si="1985"/>
        <v>0</v>
      </c>
      <c r="CG110" s="136"/>
      <c r="CH110" s="91">
        <f t="shared" si="1986"/>
        <v>0</v>
      </c>
      <c r="CI110" s="47">
        <f t="shared" si="1932"/>
        <v>0</v>
      </c>
      <c r="CJ110" s="47">
        <f t="shared" si="1933"/>
        <v>0</v>
      </c>
      <c r="CK110" s="48">
        <f t="shared" si="2012"/>
        <v>0</v>
      </c>
      <c r="CL110" s="49">
        <f t="shared" si="1935"/>
        <v>30</v>
      </c>
      <c r="CM110" s="50">
        <f t="shared" si="1936"/>
        <v>147000</v>
      </c>
      <c r="CO110" s="65"/>
      <c r="CP110" s="65"/>
    </row>
    <row r="111" spans="1:94" ht="26.25" customHeight="1" x14ac:dyDescent="0.25">
      <c r="A111" s="32"/>
      <c r="B111" s="74">
        <v>92</v>
      </c>
      <c r="C111" s="113" t="s">
        <v>91</v>
      </c>
      <c r="D111" s="112">
        <v>30</v>
      </c>
      <c r="E111" s="130">
        <f t="shared" si="1988"/>
        <v>30</v>
      </c>
      <c r="F111" s="44">
        <f t="shared" si="2098"/>
        <v>4666.666666666667</v>
      </c>
      <c r="G111" s="116"/>
      <c r="H111" s="45">
        <f>H102*0.1</f>
        <v>140000</v>
      </c>
      <c r="I111" s="66"/>
      <c r="J111" s="67">
        <f t="shared" si="1990"/>
        <v>0</v>
      </c>
      <c r="K111" s="67">
        <f>I111*$G$70</f>
        <v>0</v>
      </c>
      <c r="L111" s="45">
        <f t="shared" si="2013"/>
        <v>0</v>
      </c>
      <c r="M111" s="66"/>
      <c r="N111" s="67">
        <f t="shared" si="2119"/>
        <v>0</v>
      </c>
      <c r="O111" s="67">
        <f t="shared" si="2120"/>
        <v>0</v>
      </c>
      <c r="P111" s="45">
        <f t="shared" si="1941"/>
        <v>0</v>
      </c>
      <c r="Q111" s="66"/>
      <c r="R111" s="67">
        <f t="shared" si="2121"/>
        <v>0</v>
      </c>
      <c r="S111" s="67">
        <f t="shared" si="2122"/>
        <v>0</v>
      </c>
      <c r="T111" s="45">
        <f t="shared" si="1944"/>
        <v>0</v>
      </c>
      <c r="U111" s="66"/>
      <c r="V111" s="67">
        <f t="shared" si="2123"/>
        <v>0</v>
      </c>
      <c r="W111" s="67">
        <f t="shared" si="2124"/>
        <v>0</v>
      </c>
      <c r="X111" s="45">
        <f t="shared" si="1947"/>
        <v>0</v>
      </c>
      <c r="Y111" s="66"/>
      <c r="Z111" s="67">
        <f t="shared" si="2125"/>
        <v>0</v>
      </c>
      <c r="AA111" s="67">
        <f t="shared" si="2126"/>
        <v>0</v>
      </c>
      <c r="AB111" s="45">
        <f t="shared" si="1950"/>
        <v>0</v>
      </c>
      <c r="AC111" s="66"/>
      <c r="AD111" s="67">
        <f t="shared" si="2127"/>
        <v>0</v>
      </c>
      <c r="AE111" s="67">
        <f t="shared" si="2128"/>
        <v>0</v>
      </c>
      <c r="AF111" s="45">
        <f t="shared" si="1953"/>
        <v>0</v>
      </c>
      <c r="AG111" s="66"/>
      <c r="AH111" s="67">
        <f t="shared" si="2129"/>
        <v>0</v>
      </c>
      <c r="AI111" s="67">
        <f t="shared" si="2130"/>
        <v>0</v>
      </c>
      <c r="AJ111" s="45">
        <f t="shared" si="1956"/>
        <v>0</v>
      </c>
      <c r="AK111" s="66"/>
      <c r="AL111" s="67">
        <f t="shared" si="2131"/>
        <v>0</v>
      </c>
      <c r="AM111" s="67">
        <f t="shared" si="2132"/>
        <v>0</v>
      </c>
      <c r="AN111" s="45">
        <f t="shared" si="1959"/>
        <v>0</v>
      </c>
      <c r="AO111" s="66"/>
      <c r="AP111" s="67">
        <f t="shared" si="2133"/>
        <v>0</v>
      </c>
      <c r="AQ111" s="67">
        <f t="shared" si="2134"/>
        <v>0</v>
      </c>
      <c r="AR111" s="45">
        <f t="shared" si="1962"/>
        <v>0</v>
      </c>
      <c r="AS111" s="66"/>
      <c r="AT111" s="67">
        <f t="shared" si="2135"/>
        <v>0</v>
      </c>
      <c r="AU111" s="67">
        <f t="shared" si="2136"/>
        <v>0</v>
      </c>
      <c r="AV111" s="45">
        <f t="shared" si="1965"/>
        <v>0</v>
      </c>
      <c r="AW111" s="66"/>
      <c r="AX111" s="67">
        <f t="shared" si="2137"/>
        <v>0</v>
      </c>
      <c r="AY111" s="67">
        <f t="shared" si="2138"/>
        <v>0</v>
      </c>
      <c r="AZ111" s="45">
        <f t="shared" si="1968"/>
        <v>0</v>
      </c>
      <c r="BA111" s="66"/>
      <c r="BB111" s="67">
        <f t="shared" si="2139"/>
        <v>0</v>
      </c>
      <c r="BC111" s="67"/>
      <c r="BD111" s="45">
        <f t="shared" si="1970"/>
        <v>0</v>
      </c>
      <c r="BE111" s="66"/>
      <c r="BF111" s="44">
        <f t="shared" si="1971"/>
        <v>0</v>
      </c>
      <c r="BG111" s="44"/>
      <c r="BH111" s="45">
        <f t="shared" si="1973"/>
        <v>0</v>
      </c>
      <c r="BI111" s="66"/>
      <c r="BJ111" s="44">
        <f t="shared" si="1974"/>
        <v>0</v>
      </c>
      <c r="BK111" s="44"/>
      <c r="BL111" s="45">
        <f t="shared" si="1975"/>
        <v>0</v>
      </c>
      <c r="BM111" s="66"/>
      <c r="BN111" s="67">
        <f t="shared" si="1976"/>
        <v>0</v>
      </c>
      <c r="BO111" s="67"/>
      <c r="BP111" s="45">
        <f t="shared" si="1977"/>
        <v>0</v>
      </c>
      <c r="BQ111" s="66"/>
      <c r="BR111" s="44">
        <f t="shared" si="1978"/>
        <v>0</v>
      </c>
      <c r="BS111" s="67"/>
      <c r="BT111" s="45">
        <f t="shared" si="1979"/>
        <v>0</v>
      </c>
      <c r="BU111" s="66"/>
      <c r="BV111" s="44">
        <f t="shared" si="1980"/>
        <v>0</v>
      </c>
      <c r="BW111" s="67"/>
      <c r="BX111" s="45">
        <f t="shared" si="1981"/>
        <v>0</v>
      </c>
      <c r="BY111" s="66"/>
      <c r="BZ111" s="44">
        <f t="shared" si="1982"/>
        <v>0</v>
      </c>
      <c r="CA111" s="67"/>
      <c r="CB111" s="45">
        <f t="shared" si="1983"/>
        <v>0</v>
      </c>
      <c r="CC111" s="66"/>
      <c r="CD111" s="44">
        <f t="shared" si="1984"/>
        <v>0</v>
      </c>
      <c r="CE111" s="67"/>
      <c r="CF111" s="45">
        <f t="shared" si="1985"/>
        <v>0</v>
      </c>
      <c r="CG111" s="136"/>
      <c r="CH111" s="91">
        <f t="shared" si="1986"/>
        <v>0</v>
      </c>
      <c r="CI111" s="47">
        <f t="shared" si="1932"/>
        <v>0</v>
      </c>
      <c r="CJ111" s="47">
        <f t="shared" si="1933"/>
        <v>0</v>
      </c>
      <c r="CK111" s="48">
        <f t="shared" si="2012"/>
        <v>0</v>
      </c>
      <c r="CL111" s="49">
        <f t="shared" si="1935"/>
        <v>30</v>
      </c>
      <c r="CM111" s="50">
        <f t="shared" si="1936"/>
        <v>140000</v>
      </c>
      <c r="CO111" s="65"/>
      <c r="CP111" s="65"/>
    </row>
    <row r="112" spans="1:94" ht="26.25" customHeight="1" x14ac:dyDescent="0.25">
      <c r="A112" s="32"/>
      <c r="B112" s="74">
        <v>93</v>
      </c>
      <c r="C112" s="113" t="s">
        <v>34</v>
      </c>
      <c r="D112" s="112">
        <v>30</v>
      </c>
      <c r="E112" s="130">
        <f t="shared" si="1988"/>
        <v>30</v>
      </c>
      <c r="F112" s="44">
        <f t="shared" si="2098"/>
        <v>5600</v>
      </c>
      <c r="G112" s="116"/>
      <c r="H112" s="45">
        <f>H102*0.12</f>
        <v>168000</v>
      </c>
      <c r="I112" s="66"/>
      <c r="J112" s="67">
        <f t="shared" si="1990"/>
        <v>0</v>
      </c>
      <c r="K112" s="67">
        <f>I112*$G$72</f>
        <v>0</v>
      </c>
      <c r="L112" s="45">
        <f t="shared" si="2013"/>
        <v>0</v>
      </c>
      <c r="M112" s="66"/>
      <c r="N112" s="67">
        <f t="shared" ref="N112" si="2140">M112*$F$72</f>
        <v>0</v>
      </c>
      <c r="O112" s="67">
        <f t="shared" ref="O112" si="2141">M112*$G$72</f>
        <v>0</v>
      </c>
      <c r="P112" s="45">
        <f t="shared" si="1941"/>
        <v>0</v>
      </c>
      <c r="Q112" s="66"/>
      <c r="R112" s="67">
        <f t="shared" ref="R112" si="2142">Q112*$F$72</f>
        <v>0</v>
      </c>
      <c r="S112" s="67">
        <f t="shared" ref="S112" si="2143">Q112*$G$72</f>
        <v>0</v>
      </c>
      <c r="T112" s="45">
        <f t="shared" si="1944"/>
        <v>0</v>
      </c>
      <c r="U112" s="66"/>
      <c r="V112" s="67">
        <f t="shared" ref="V112" si="2144">U112*$F$72</f>
        <v>0</v>
      </c>
      <c r="W112" s="67">
        <f t="shared" ref="W112" si="2145">U112*$G$72</f>
        <v>0</v>
      </c>
      <c r="X112" s="45">
        <f t="shared" si="1947"/>
        <v>0</v>
      </c>
      <c r="Y112" s="66"/>
      <c r="Z112" s="67">
        <f t="shared" ref="Z112" si="2146">Y112*$F$72</f>
        <v>0</v>
      </c>
      <c r="AA112" s="67">
        <f t="shared" ref="AA112" si="2147">Y112*$G$72</f>
        <v>0</v>
      </c>
      <c r="AB112" s="45">
        <f t="shared" si="1950"/>
        <v>0</v>
      </c>
      <c r="AC112" s="66"/>
      <c r="AD112" s="67">
        <f t="shared" ref="AD112" si="2148">AC112*$F$72</f>
        <v>0</v>
      </c>
      <c r="AE112" s="67">
        <f t="shared" ref="AE112" si="2149">AC112*$G$72</f>
        <v>0</v>
      </c>
      <c r="AF112" s="45">
        <f t="shared" si="1953"/>
        <v>0</v>
      </c>
      <c r="AG112" s="66"/>
      <c r="AH112" s="67">
        <f t="shared" ref="AH112" si="2150">AG112*$F$72</f>
        <v>0</v>
      </c>
      <c r="AI112" s="67">
        <f t="shared" ref="AI112" si="2151">AG112*$G$72</f>
        <v>0</v>
      </c>
      <c r="AJ112" s="45">
        <f t="shared" si="1956"/>
        <v>0</v>
      </c>
      <c r="AK112" s="66"/>
      <c r="AL112" s="67">
        <f t="shared" ref="AL112" si="2152">AK112*$F$72</f>
        <v>0</v>
      </c>
      <c r="AM112" s="67">
        <f t="shared" ref="AM112" si="2153">AK112*$G$72</f>
        <v>0</v>
      </c>
      <c r="AN112" s="45">
        <f t="shared" si="1959"/>
        <v>0</v>
      </c>
      <c r="AO112" s="66"/>
      <c r="AP112" s="67">
        <f t="shared" ref="AP112" si="2154">AO112*$F$72</f>
        <v>0</v>
      </c>
      <c r="AQ112" s="67">
        <f t="shared" ref="AQ112" si="2155">AO112*$G$72</f>
        <v>0</v>
      </c>
      <c r="AR112" s="45">
        <f t="shared" si="1962"/>
        <v>0</v>
      </c>
      <c r="AS112" s="66"/>
      <c r="AT112" s="67">
        <f t="shared" ref="AT112" si="2156">AS112*$F$72</f>
        <v>0</v>
      </c>
      <c r="AU112" s="67">
        <f t="shared" ref="AU112" si="2157">AS112*$G$72</f>
        <v>0</v>
      </c>
      <c r="AV112" s="45">
        <f t="shared" si="1965"/>
        <v>0</v>
      </c>
      <c r="AW112" s="66"/>
      <c r="AX112" s="67">
        <f t="shared" ref="AX112" si="2158">AW112*$F$72</f>
        <v>0</v>
      </c>
      <c r="AY112" s="67">
        <f t="shared" ref="AY112" si="2159">AW112*$G$72</f>
        <v>0</v>
      </c>
      <c r="AZ112" s="45">
        <f t="shared" si="1968"/>
        <v>0</v>
      </c>
      <c r="BA112" s="66"/>
      <c r="BB112" s="67">
        <f t="shared" ref="BB112" si="2160">BA112*$F$72</f>
        <v>0</v>
      </c>
      <c r="BC112" s="67"/>
      <c r="BD112" s="45">
        <f t="shared" si="1970"/>
        <v>0</v>
      </c>
      <c r="BE112" s="66"/>
      <c r="BF112" s="44">
        <f t="shared" si="1971"/>
        <v>0</v>
      </c>
      <c r="BG112" s="44"/>
      <c r="BH112" s="45">
        <f t="shared" si="1973"/>
        <v>0</v>
      </c>
      <c r="BI112" s="66"/>
      <c r="BJ112" s="44">
        <f t="shared" si="1974"/>
        <v>0</v>
      </c>
      <c r="BK112" s="44"/>
      <c r="BL112" s="45">
        <f t="shared" si="1975"/>
        <v>0</v>
      </c>
      <c r="BM112" s="66"/>
      <c r="BN112" s="67">
        <f t="shared" si="1976"/>
        <v>0</v>
      </c>
      <c r="BO112" s="67"/>
      <c r="BP112" s="45">
        <f t="shared" si="1977"/>
        <v>0</v>
      </c>
      <c r="BQ112" s="66"/>
      <c r="BR112" s="44">
        <f t="shared" si="1978"/>
        <v>0</v>
      </c>
      <c r="BS112" s="67"/>
      <c r="BT112" s="45">
        <f t="shared" si="1979"/>
        <v>0</v>
      </c>
      <c r="BU112" s="66"/>
      <c r="BV112" s="44">
        <f t="shared" si="1980"/>
        <v>0</v>
      </c>
      <c r="BW112" s="67"/>
      <c r="BX112" s="45">
        <f t="shared" si="1981"/>
        <v>0</v>
      </c>
      <c r="BY112" s="66"/>
      <c r="BZ112" s="44">
        <f t="shared" si="1982"/>
        <v>0</v>
      </c>
      <c r="CA112" s="67"/>
      <c r="CB112" s="45">
        <f t="shared" si="1983"/>
        <v>0</v>
      </c>
      <c r="CC112" s="66"/>
      <c r="CD112" s="44">
        <f t="shared" si="1984"/>
        <v>0</v>
      </c>
      <c r="CE112" s="67"/>
      <c r="CF112" s="45">
        <f t="shared" si="1985"/>
        <v>0</v>
      </c>
      <c r="CG112" s="136"/>
      <c r="CH112" s="91">
        <f t="shared" si="1986"/>
        <v>0</v>
      </c>
      <c r="CI112" s="47">
        <f t="shared" si="1932"/>
        <v>0</v>
      </c>
      <c r="CJ112" s="47">
        <f t="shared" si="1933"/>
        <v>0</v>
      </c>
      <c r="CK112" s="48">
        <f t="shared" si="2012"/>
        <v>0</v>
      </c>
      <c r="CL112" s="49">
        <f t="shared" si="1935"/>
        <v>30</v>
      </c>
      <c r="CM112" s="50">
        <f t="shared" si="1936"/>
        <v>168000</v>
      </c>
      <c r="CO112" s="65"/>
      <c r="CP112" s="65"/>
    </row>
    <row r="113" spans="1:94" ht="26.25" customHeight="1" x14ac:dyDescent="0.25">
      <c r="A113" s="32"/>
      <c r="B113" s="74">
        <v>94</v>
      </c>
      <c r="C113" s="113" t="s">
        <v>35</v>
      </c>
      <c r="D113" s="112">
        <v>30</v>
      </c>
      <c r="E113" s="130">
        <f t="shared" si="1988"/>
        <v>30</v>
      </c>
      <c r="F113" s="44">
        <f t="shared" si="2098"/>
        <v>2800</v>
      </c>
      <c r="G113" s="116"/>
      <c r="H113" s="45">
        <f>H102*0.06</f>
        <v>84000</v>
      </c>
      <c r="I113" s="66"/>
      <c r="J113" s="67">
        <f t="shared" si="1990"/>
        <v>0</v>
      </c>
      <c r="K113" s="67">
        <f>I113*$G$73</f>
        <v>0</v>
      </c>
      <c r="L113" s="45">
        <f t="shared" si="2013"/>
        <v>0</v>
      </c>
      <c r="M113" s="66"/>
      <c r="N113" s="67">
        <f t="shared" ref="N113" si="2161">M113*$F$73</f>
        <v>0</v>
      </c>
      <c r="O113" s="67">
        <f t="shared" ref="O113" si="2162">M113*$G$73</f>
        <v>0</v>
      </c>
      <c r="P113" s="45">
        <f t="shared" si="1941"/>
        <v>0</v>
      </c>
      <c r="Q113" s="66"/>
      <c r="R113" s="67">
        <f t="shared" ref="R113" si="2163">Q113*$F$73</f>
        <v>0</v>
      </c>
      <c r="S113" s="67">
        <f t="shared" ref="S113" si="2164">Q113*$G$73</f>
        <v>0</v>
      </c>
      <c r="T113" s="45">
        <f t="shared" si="1944"/>
        <v>0</v>
      </c>
      <c r="U113" s="66"/>
      <c r="V113" s="67">
        <f t="shared" ref="V113" si="2165">U113*$F$73</f>
        <v>0</v>
      </c>
      <c r="W113" s="67">
        <f t="shared" ref="W113" si="2166">U113*$G$73</f>
        <v>0</v>
      </c>
      <c r="X113" s="45">
        <f t="shared" si="1947"/>
        <v>0</v>
      </c>
      <c r="Y113" s="66"/>
      <c r="Z113" s="67">
        <f t="shared" ref="Z113" si="2167">Y113*$F$73</f>
        <v>0</v>
      </c>
      <c r="AA113" s="67">
        <f t="shared" ref="AA113" si="2168">Y113*$G$73</f>
        <v>0</v>
      </c>
      <c r="AB113" s="45">
        <f t="shared" si="1950"/>
        <v>0</v>
      </c>
      <c r="AC113" s="66"/>
      <c r="AD113" s="67">
        <f t="shared" ref="AD113" si="2169">AC113*$F$73</f>
        <v>0</v>
      </c>
      <c r="AE113" s="67">
        <f t="shared" ref="AE113" si="2170">AC113*$G$73</f>
        <v>0</v>
      </c>
      <c r="AF113" s="45">
        <f t="shared" si="1953"/>
        <v>0</v>
      </c>
      <c r="AG113" s="66"/>
      <c r="AH113" s="67">
        <f t="shared" ref="AH113" si="2171">AG113*$F$73</f>
        <v>0</v>
      </c>
      <c r="AI113" s="67">
        <f t="shared" ref="AI113" si="2172">AG113*$G$73</f>
        <v>0</v>
      </c>
      <c r="AJ113" s="45">
        <f t="shared" si="1956"/>
        <v>0</v>
      </c>
      <c r="AK113" s="66"/>
      <c r="AL113" s="67">
        <f t="shared" ref="AL113" si="2173">AK113*$F$73</f>
        <v>0</v>
      </c>
      <c r="AM113" s="67">
        <f t="shared" ref="AM113" si="2174">AK113*$G$73</f>
        <v>0</v>
      </c>
      <c r="AN113" s="45">
        <f t="shared" si="1959"/>
        <v>0</v>
      </c>
      <c r="AO113" s="66"/>
      <c r="AP113" s="67">
        <f t="shared" ref="AP113" si="2175">AO113*$F$73</f>
        <v>0</v>
      </c>
      <c r="AQ113" s="67">
        <f t="shared" ref="AQ113" si="2176">AO113*$G$73</f>
        <v>0</v>
      </c>
      <c r="AR113" s="45">
        <f t="shared" si="1962"/>
        <v>0</v>
      </c>
      <c r="AS113" s="66"/>
      <c r="AT113" s="67">
        <f t="shared" ref="AT113" si="2177">AS113*$F$73</f>
        <v>0</v>
      </c>
      <c r="AU113" s="67">
        <f t="shared" ref="AU113" si="2178">AS113*$G$73</f>
        <v>0</v>
      </c>
      <c r="AV113" s="45">
        <f t="shared" si="1965"/>
        <v>0</v>
      </c>
      <c r="AW113" s="66"/>
      <c r="AX113" s="67">
        <f t="shared" ref="AX113" si="2179">AW113*$F$73</f>
        <v>0</v>
      </c>
      <c r="AY113" s="67">
        <f t="shared" ref="AY113" si="2180">AW113*$G$73</f>
        <v>0</v>
      </c>
      <c r="AZ113" s="45">
        <f t="shared" si="1968"/>
        <v>0</v>
      </c>
      <c r="BA113" s="66"/>
      <c r="BB113" s="67">
        <f t="shared" ref="BB113" si="2181">BA113*$F$73</f>
        <v>0</v>
      </c>
      <c r="BC113" s="67"/>
      <c r="BD113" s="45">
        <f t="shared" si="1970"/>
        <v>0</v>
      </c>
      <c r="BE113" s="66"/>
      <c r="BF113" s="44">
        <f t="shared" si="1971"/>
        <v>0</v>
      </c>
      <c r="BG113" s="44"/>
      <c r="BH113" s="45">
        <f t="shared" si="1973"/>
        <v>0</v>
      </c>
      <c r="BI113" s="66"/>
      <c r="BJ113" s="44">
        <f t="shared" si="1974"/>
        <v>0</v>
      </c>
      <c r="BK113" s="44"/>
      <c r="BL113" s="45">
        <f t="shared" si="1975"/>
        <v>0</v>
      </c>
      <c r="BM113" s="66"/>
      <c r="BN113" s="67">
        <f t="shared" si="1976"/>
        <v>0</v>
      </c>
      <c r="BO113" s="67"/>
      <c r="BP113" s="45">
        <f t="shared" si="1977"/>
        <v>0</v>
      </c>
      <c r="BQ113" s="66"/>
      <c r="BR113" s="44">
        <f t="shared" si="1978"/>
        <v>0</v>
      </c>
      <c r="BS113" s="67"/>
      <c r="BT113" s="45">
        <f t="shared" si="1979"/>
        <v>0</v>
      </c>
      <c r="BU113" s="66"/>
      <c r="BV113" s="44">
        <f t="shared" si="1980"/>
        <v>0</v>
      </c>
      <c r="BW113" s="67"/>
      <c r="BX113" s="45">
        <f t="shared" si="1981"/>
        <v>0</v>
      </c>
      <c r="BY113" s="66"/>
      <c r="BZ113" s="44">
        <f t="shared" si="1982"/>
        <v>0</v>
      </c>
      <c r="CA113" s="116"/>
      <c r="CB113" s="45">
        <f>CA113+BZ113*BY113</f>
        <v>0</v>
      </c>
      <c r="CC113" s="66"/>
      <c r="CD113" s="44">
        <f t="shared" si="1984"/>
        <v>0</v>
      </c>
      <c r="CE113" s="116"/>
      <c r="CF113" s="45">
        <f>CE113+CD113*CC113</f>
        <v>0</v>
      </c>
      <c r="CG113" s="136"/>
      <c r="CH113" s="91">
        <f t="shared" si="1986"/>
        <v>0</v>
      </c>
      <c r="CI113" s="47">
        <f t="shared" si="1932"/>
        <v>0</v>
      </c>
      <c r="CJ113" s="47">
        <f t="shared" si="1933"/>
        <v>0</v>
      </c>
      <c r="CK113" s="48">
        <f t="shared" si="2012"/>
        <v>0</v>
      </c>
      <c r="CL113" s="49">
        <f t="shared" si="1935"/>
        <v>30</v>
      </c>
      <c r="CM113" s="50">
        <f t="shared" si="1936"/>
        <v>84000</v>
      </c>
      <c r="CO113" s="65"/>
      <c r="CP113" s="65"/>
    </row>
    <row r="114" spans="1:94" ht="26.25" customHeight="1" x14ac:dyDescent="0.25">
      <c r="A114" s="32"/>
      <c r="B114" s="74">
        <v>95</v>
      </c>
      <c r="C114" s="113" t="s">
        <v>41</v>
      </c>
      <c r="D114" s="112">
        <v>30</v>
      </c>
      <c r="E114" s="130">
        <f t="shared" si="1988"/>
        <v>30</v>
      </c>
      <c r="F114" s="44">
        <f t="shared" si="2098"/>
        <v>1866.6666666666667</v>
      </c>
      <c r="G114" s="116"/>
      <c r="H114" s="45">
        <f>H102*0.04</f>
        <v>56000</v>
      </c>
      <c r="I114" s="66"/>
      <c r="J114" s="67">
        <f t="shared" si="1990"/>
        <v>0</v>
      </c>
      <c r="K114" s="67">
        <f>I114*$G$74</f>
        <v>0</v>
      </c>
      <c r="L114" s="45">
        <f t="shared" si="2013"/>
        <v>0</v>
      </c>
      <c r="M114" s="66"/>
      <c r="N114" s="67">
        <f t="shared" ref="N114" si="2182">M114*$F$74</f>
        <v>0</v>
      </c>
      <c r="O114" s="67">
        <f t="shared" ref="O114" si="2183">M114*$G$74</f>
        <v>0</v>
      </c>
      <c r="P114" s="45">
        <f t="shared" si="1941"/>
        <v>0</v>
      </c>
      <c r="Q114" s="66"/>
      <c r="R114" s="67">
        <f t="shared" ref="R114" si="2184">Q114*$F$74</f>
        <v>0</v>
      </c>
      <c r="S114" s="67">
        <f t="shared" ref="S114" si="2185">Q114*$G$74</f>
        <v>0</v>
      </c>
      <c r="T114" s="45">
        <f t="shared" si="1944"/>
        <v>0</v>
      </c>
      <c r="U114" s="66"/>
      <c r="V114" s="67">
        <f t="shared" ref="V114" si="2186">U114*$F$74</f>
        <v>0</v>
      </c>
      <c r="W114" s="67">
        <f t="shared" ref="W114" si="2187">U114*$G$74</f>
        <v>0</v>
      </c>
      <c r="X114" s="45">
        <f t="shared" si="1947"/>
        <v>0</v>
      </c>
      <c r="Y114" s="66"/>
      <c r="Z114" s="67">
        <f t="shared" ref="Z114" si="2188">Y114*$F$74</f>
        <v>0</v>
      </c>
      <c r="AA114" s="67">
        <f t="shared" ref="AA114" si="2189">Y114*$G$74</f>
        <v>0</v>
      </c>
      <c r="AB114" s="45">
        <f t="shared" si="1950"/>
        <v>0</v>
      </c>
      <c r="AC114" s="66"/>
      <c r="AD114" s="67">
        <f t="shared" ref="AD114" si="2190">AC114*$F$74</f>
        <v>0</v>
      </c>
      <c r="AE114" s="67">
        <f t="shared" ref="AE114" si="2191">AC114*$G$74</f>
        <v>0</v>
      </c>
      <c r="AF114" s="45">
        <f t="shared" si="1953"/>
        <v>0</v>
      </c>
      <c r="AG114" s="66"/>
      <c r="AH114" s="67">
        <f t="shared" ref="AH114" si="2192">AG114*$F$74</f>
        <v>0</v>
      </c>
      <c r="AI114" s="67">
        <f t="shared" ref="AI114" si="2193">AG114*$G$74</f>
        <v>0</v>
      </c>
      <c r="AJ114" s="45">
        <f t="shared" si="1956"/>
        <v>0</v>
      </c>
      <c r="AK114" s="66"/>
      <c r="AL114" s="67">
        <f t="shared" ref="AL114" si="2194">AK114*$F$74</f>
        <v>0</v>
      </c>
      <c r="AM114" s="67">
        <f t="shared" ref="AM114" si="2195">AK114*$G$74</f>
        <v>0</v>
      </c>
      <c r="AN114" s="45">
        <f t="shared" si="1959"/>
        <v>0</v>
      </c>
      <c r="AO114" s="66"/>
      <c r="AP114" s="67">
        <f t="shared" ref="AP114" si="2196">AO114*$F$74</f>
        <v>0</v>
      </c>
      <c r="AQ114" s="67">
        <f t="shared" ref="AQ114" si="2197">AO114*$G$74</f>
        <v>0</v>
      </c>
      <c r="AR114" s="45">
        <f t="shared" si="1962"/>
        <v>0</v>
      </c>
      <c r="AS114" s="66"/>
      <c r="AT114" s="67">
        <f t="shared" ref="AT114" si="2198">AS114*$F$74</f>
        <v>0</v>
      </c>
      <c r="AU114" s="67">
        <f t="shared" ref="AU114" si="2199">AS114*$G$74</f>
        <v>0</v>
      </c>
      <c r="AV114" s="45">
        <f t="shared" si="1965"/>
        <v>0</v>
      </c>
      <c r="AW114" s="66"/>
      <c r="AX114" s="67">
        <f t="shared" ref="AX114" si="2200">AW114*$F$74</f>
        <v>0</v>
      </c>
      <c r="AY114" s="67">
        <f t="shared" ref="AY114" si="2201">AW114*$G$74</f>
        <v>0</v>
      </c>
      <c r="AZ114" s="45">
        <f t="shared" si="1968"/>
        <v>0</v>
      </c>
      <c r="BA114" s="66"/>
      <c r="BB114" s="67">
        <f t="shared" ref="BB114" si="2202">BA114*$F$74</f>
        <v>0</v>
      </c>
      <c r="BC114" s="67"/>
      <c r="BD114" s="45">
        <f t="shared" si="1970"/>
        <v>0</v>
      </c>
      <c r="BE114" s="66"/>
      <c r="BF114" s="44">
        <f t="shared" si="1971"/>
        <v>0</v>
      </c>
      <c r="BG114" s="44"/>
      <c r="BH114" s="45">
        <f t="shared" si="1973"/>
        <v>0</v>
      </c>
      <c r="BI114" s="66"/>
      <c r="BJ114" s="44">
        <f t="shared" si="1974"/>
        <v>0</v>
      </c>
      <c r="BK114" s="44"/>
      <c r="BL114" s="45">
        <f t="shared" si="1975"/>
        <v>0</v>
      </c>
      <c r="BM114" s="66"/>
      <c r="BN114" s="67">
        <f t="shared" si="1976"/>
        <v>0</v>
      </c>
      <c r="BO114" s="67"/>
      <c r="BP114" s="45">
        <f t="shared" si="1977"/>
        <v>0</v>
      </c>
      <c r="BQ114" s="66"/>
      <c r="BR114" s="44">
        <f t="shared" si="1978"/>
        <v>0</v>
      </c>
      <c r="BS114" s="67"/>
      <c r="BT114" s="45">
        <f t="shared" si="1979"/>
        <v>0</v>
      </c>
      <c r="BU114" s="66"/>
      <c r="BV114" s="44">
        <f t="shared" si="1980"/>
        <v>0</v>
      </c>
      <c r="BW114" s="67"/>
      <c r="BX114" s="45">
        <f t="shared" si="1981"/>
        <v>0</v>
      </c>
      <c r="BY114" s="66"/>
      <c r="BZ114" s="44">
        <f t="shared" si="1982"/>
        <v>0</v>
      </c>
      <c r="CA114" s="67"/>
      <c r="CB114" s="45">
        <f t="shared" ref="CB114:CB118" si="2203">CA114+BZ114</f>
        <v>0</v>
      </c>
      <c r="CC114" s="66"/>
      <c r="CD114" s="44">
        <f t="shared" si="1984"/>
        <v>0</v>
      </c>
      <c r="CE114" s="67"/>
      <c r="CF114" s="45">
        <f t="shared" ref="CF114:CF118" si="2204">CE114+CD114</f>
        <v>0</v>
      </c>
      <c r="CG114" s="136"/>
      <c r="CH114" s="91">
        <f t="shared" si="1986"/>
        <v>0</v>
      </c>
      <c r="CI114" s="47">
        <f t="shared" si="1932"/>
        <v>0</v>
      </c>
      <c r="CJ114" s="47">
        <f t="shared" si="1933"/>
        <v>0</v>
      </c>
      <c r="CK114" s="48">
        <f t="shared" si="2012"/>
        <v>0</v>
      </c>
      <c r="CL114" s="49">
        <f t="shared" si="1935"/>
        <v>30</v>
      </c>
      <c r="CM114" s="50">
        <f t="shared" si="1936"/>
        <v>56000</v>
      </c>
      <c r="CO114" s="65"/>
      <c r="CP114" s="65"/>
    </row>
    <row r="115" spans="1:94" ht="26.25" customHeight="1" x14ac:dyDescent="0.25">
      <c r="A115" s="32"/>
      <c r="B115" s="74">
        <v>96</v>
      </c>
      <c r="C115" s="113" t="s">
        <v>60</v>
      </c>
      <c r="D115" s="112">
        <v>30</v>
      </c>
      <c r="E115" s="130">
        <f t="shared" si="1988"/>
        <v>30</v>
      </c>
      <c r="F115" s="44">
        <f t="shared" si="2098"/>
        <v>1400</v>
      </c>
      <c r="G115" s="116"/>
      <c r="H115" s="45">
        <f>H102*0.03</f>
        <v>42000</v>
      </c>
      <c r="I115" s="66"/>
      <c r="J115" s="67">
        <f t="shared" si="1990"/>
        <v>0</v>
      </c>
      <c r="K115" s="67">
        <f>I115*$G$75</f>
        <v>0</v>
      </c>
      <c r="L115" s="45">
        <f t="shared" si="2013"/>
        <v>0</v>
      </c>
      <c r="M115" s="66"/>
      <c r="N115" s="67">
        <f t="shared" ref="N115:N117" si="2205">M115*$F$75</f>
        <v>0</v>
      </c>
      <c r="O115" s="67">
        <f t="shared" ref="O115:O117" si="2206">M115*$G$75</f>
        <v>0</v>
      </c>
      <c r="P115" s="45">
        <f t="shared" si="1941"/>
        <v>0</v>
      </c>
      <c r="Q115" s="66"/>
      <c r="R115" s="67">
        <f t="shared" ref="R115:R117" si="2207">Q115*$F$75</f>
        <v>0</v>
      </c>
      <c r="S115" s="67">
        <f t="shared" ref="S115:S117" si="2208">Q115*$G$75</f>
        <v>0</v>
      </c>
      <c r="T115" s="45">
        <f t="shared" si="1944"/>
        <v>0</v>
      </c>
      <c r="U115" s="66"/>
      <c r="V115" s="67">
        <f t="shared" ref="V115:V117" si="2209">U115*$F$75</f>
        <v>0</v>
      </c>
      <c r="W115" s="67">
        <f t="shared" ref="W115:W117" si="2210">U115*$G$75</f>
        <v>0</v>
      </c>
      <c r="X115" s="45">
        <f t="shared" si="1947"/>
        <v>0</v>
      </c>
      <c r="Y115" s="66"/>
      <c r="Z115" s="67">
        <f t="shared" ref="Z115:Z117" si="2211">Y115*$F$75</f>
        <v>0</v>
      </c>
      <c r="AA115" s="67">
        <f t="shared" ref="AA115:AA117" si="2212">Y115*$G$75</f>
        <v>0</v>
      </c>
      <c r="AB115" s="45">
        <f t="shared" si="1950"/>
        <v>0</v>
      </c>
      <c r="AC115" s="66"/>
      <c r="AD115" s="67">
        <f t="shared" ref="AD115:AD117" si="2213">AC115*$F$75</f>
        <v>0</v>
      </c>
      <c r="AE115" s="67">
        <f t="shared" ref="AE115:AE117" si="2214">AC115*$G$75</f>
        <v>0</v>
      </c>
      <c r="AF115" s="45">
        <f t="shared" si="1953"/>
        <v>0</v>
      </c>
      <c r="AG115" s="66"/>
      <c r="AH115" s="67">
        <f t="shared" ref="AH115:AH117" si="2215">AG115*$F$75</f>
        <v>0</v>
      </c>
      <c r="AI115" s="67">
        <f t="shared" ref="AI115:AI117" si="2216">AG115*$G$75</f>
        <v>0</v>
      </c>
      <c r="AJ115" s="45">
        <f t="shared" si="1956"/>
        <v>0</v>
      </c>
      <c r="AK115" s="66"/>
      <c r="AL115" s="67">
        <f t="shared" ref="AL115:AL117" si="2217">AK115*$F$75</f>
        <v>0</v>
      </c>
      <c r="AM115" s="67">
        <f t="shared" ref="AM115:AM117" si="2218">AK115*$G$75</f>
        <v>0</v>
      </c>
      <c r="AN115" s="45">
        <f t="shared" si="1959"/>
        <v>0</v>
      </c>
      <c r="AO115" s="66"/>
      <c r="AP115" s="67">
        <f t="shared" ref="AP115:AP117" si="2219">AO115*$F$75</f>
        <v>0</v>
      </c>
      <c r="AQ115" s="67">
        <f t="shared" ref="AQ115:AQ117" si="2220">AO115*$G$75</f>
        <v>0</v>
      </c>
      <c r="AR115" s="45">
        <f t="shared" si="1962"/>
        <v>0</v>
      </c>
      <c r="AS115" s="66"/>
      <c r="AT115" s="67">
        <f t="shared" ref="AT115:AT117" si="2221">AS115*$F$75</f>
        <v>0</v>
      </c>
      <c r="AU115" s="67">
        <f t="shared" ref="AU115:AU117" si="2222">AS115*$G$75</f>
        <v>0</v>
      </c>
      <c r="AV115" s="45">
        <f t="shared" si="1965"/>
        <v>0</v>
      </c>
      <c r="AW115" s="66"/>
      <c r="AX115" s="67">
        <f t="shared" ref="AX115:AX117" si="2223">AW115*$F$75</f>
        <v>0</v>
      </c>
      <c r="AY115" s="67">
        <f t="shared" ref="AY115:AY117" si="2224">AW115*$G$75</f>
        <v>0</v>
      </c>
      <c r="AZ115" s="45">
        <f t="shared" si="1968"/>
        <v>0</v>
      </c>
      <c r="BA115" s="66"/>
      <c r="BB115" s="67">
        <f t="shared" ref="BB115:BB117" si="2225">BA115*$F$75</f>
        <v>0</v>
      </c>
      <c r="BC115" s="67"/>
      <c r="BD115" s="45">
        <f t="shared" si="1970"/>
        <v>0</v>
      </c>
      <c r="BE115" s="66"/>
      <c r="BF115" s="44">
        <f t="shared" si="1971"/>
        <v>0</v>
      </c>
      <c r="BG115" s="44"/>
      <c r="BH115" s="45">
        <f t="shared" si="1973"/>
        <v>0</v>
      </c>
      <c r="BI115" s="66"/>
      <c r="BJ115" s="44">
        <f t="shared" si="1974"/>
        <v>0</v>
      </c>
      <c r="BK115" s="44"/>
      <c r="BL115" s="45">
        <f t="shared" si="1975"/>
        <v>0</v>
      </c>
      <c r="BM115" s="66"/>
      <c r="BN115" s="67">
        <f t="shared" si="1976"/>
        <v>0</v>
      </c>
      <c r="BO115" s="67"/>
      <c r="BP115" s="45">
        <f t="shared" si="1977"/>
        <v>0</v>
      </c>
      <c r="BQ115" s="66"/>
      <c r="BR115" s="44">
        <f t="shared" si="1978"/>
        <v>0</v>
      </c>
      <c r="BS115" s="67"/>
      <c r="BT115" s="45">
        <f t="shared" si="1979"/>
        <v>0</v>
      </c>
      <c r="BU115" s="66"/>
      <c r="BV115" s="44">
        <f t="shared" si="1980"/>
        <v>0</v>
      </c>
      <c r="BW115" s="67"/>
      <c r="BX115" s="45">
        <f t="shared" si="1981"/>
        <v>0</v>
      </c>
      <c r="BY115" s="66"/>
      <c r="BZ115" s="44">
        <f t="shared" si="1982"/>
        <v>0</v>
      </c>
      <c r="CA115" s="67"/>
      <c r="CB115" s="45">
        <f t="shared" si="2203"/>
        <v>0</v>
      </c>
      <c r="CC115" s="66"/>
      <c r="CD115" s="44">
        <f t="shared" si="1984"/>
        <v>0</v>
      </c>
      <c r="CE115" s="67"/>
      <c r="CF115" s="45">
        <f t="shared" si="2204"/>
        <v>0</v>
      </c>
      <c r="CG115" s="136"/>
      <c r="CH115" s="91">
        <f t="shared" si="1986"/>
        <v>0</v>
      </c>
      <c r="CI115" s="47">
        <f t="shared" si="1932"/>
        <v>0</v>
      </c>
      <c r="CJ115" s="47">
        <f t="shared" si="1933"/>
        <v>0</v>
      </c>
      <c r="CK115" s="48">
        <f t="shared" si="2012"/>
        <v>0</v>
      </c>
      <c r="CL115" s="49">
        <f t="shared" si="1935"/>
        <v>30</v>
      </c>
      <c r="CM115" s="50">
        <f t="shared" si="1936"/>
        <v>42000</v>
      </c>
      <c r="CO115" s="65"/>
      <c r="CP115" s="65"/>
    </row>
    <row r="116" spans="1:94" ht="26.25" customHeight="1" x14ac:dyDescent="0.25">
      <c r="A116" s="32"/>
      <c r="B116" s="74">
        <v>97</v>
      </c>
      <c r="C116" s="113" t="s">
        <v>84</v>
      </c>
      <c r="D116" s="112">
        <v>4</v>
      </c>
      <c r="E116" s="130">
        <f t="shared" si="1988"/>
        <v>4</v>
      </c>
      <c r="F116" s="44">
        <f t="shared" si="2098"/>
        <v>3500</v>
      </c>
      <c r="G116" s="116"/>
      <c r="H116" s="45">
        <f>H102*0.01</f>
        <v>14000</v>
      </c>
      <c r="I116" s="66"/>
      <c r="J116" s="67">
        <f t="shared" si="1990"/>
        <v>0</v>
      </c>
      <c r="K116" s="67">
        <f>I116*$G$75</f>
        <v>0</v>
      </c>
      <c r="L116" s="45">
        <f t="shared" si="2013"/>
        <v>0</v>
      </c>
      <c r="M116" s="66"/>
      <c r="N116" s="67">
        <f t="shared" si="2205"/>
        <v>0</v>
      </c>
      <c r="O116" s="67">
        <f t="shared" si="2206"/>
        <v>0</v>
      </c>
      <c r="P116" s="45">
        <f t="shared" si="1941"/>
        <v>0</v>
      </c>
      <c r="Q116" s="66"/>
      <c r="R116" s="67">
        <f t="shared" si="2207"/>
        <v>0</v>
      </c>
      <c r="S116" s="67">
        <f t="shared" si="2208"/>
        <v>0</v>
      </c>
      <c r="T116" s="45">
        <f t="shared" si="1944"/>
        <v>0</v>
      </c>
      <c r="U116" s="66"/>
      <c r="V116" s="67">
        <f t="shared" si="2209"/>
        <v>0</v>
      </c>
      <c r="W116" s="67">
        <f t="shared" si="2210"/>
        <v>0</v>
      </c>
      <c r="X116" s="45">
        <f t="shared" si="1947"/>
        <v>0</v>
      </c>
      <c r="Y116" s="66"/>
      <c r="Z116" s="67">
        <f t="shared" si="2211"/>
        <v>0</v>
      </c>
      <c r="AA116" s="67">
        <f t="shared" si="2212"/>
        <v>0</v>
      </c>
      <c r="AB116" s="45">
        <f t="shared" si="1950"/>
        <v>0</v>
      </c>
      <c r="AC116" s="66"/>
      <c r="AD116" s="67">
        <f t="shared" si="2213"/>
        <v>0</v>
      </c>
      <c r="AE116" s="67">
        <f t="shared" si="2214"/>
        <v>0</v>
      </c>
      <c r="AF116" s="45">
        <f t="shared" si="1953"/>
        <v>0</v>
      </c>
      <c r="AG116" s="66"/>
      <c r="AH116" s="67">
        <f t="shared" si="2215"/>
        <v>0</v>
      </c>
      <c r="AI116" s="67">
        <f t="shared" si="2216"/>
        <v>0</v>
      </c>
      <c r="AJ116" s="45">
        <f t="shared" si="1956"/>
        <v>0</v>
      </c>
      <c r="AK116" s="66"/>
      <c r="AL116" s="67">
        <f t="shared" si="2217"/>
        <v>0</v>
      </c>
      <c r="AM116" s="67">
        <f t="shared" si="2218"/>
        <v>0</v>
      </c>
      <c r="AN116" s="45">
        <f t="shared" si="1959"/>
        <v>0</v>
      </c>
      <c r="AO116" s="66"/>
      <c r="AP116" s="67">
        <f t="shared" si="2219"/>
        <v>0</v>
      </c>
      <c r="AQ116" s="67">
        <f t="shared" si="2220"/>
        <v>0</v>
      </c>
      <c r="AR116" s="45">
        <f t="shared" si="1962"/>
        <v>0</v>
      </c>
      <c r="AS116" s="66"/>
      <c r="AT116" s="67">
        <f t="shared" si="2221"/>
        <v>0</v>
      </c>
      <c r="AU116" s="67">
        <f t="shared" si="2222"/>
        <v>0</v>
      </c>
      <c r="AV116" s="45">
        <f t="shared" si="1965"/>
        <v>0</v>
      </c>
      <c r="AW116" s="66"/>
      <c r="AX116" s="67">
        <f t="shared" si="2223"/>
        <v>0</v>
      </c>
      <c r="AY116" s="67">
        <f t="shared" si="2224"/>
        <v>0</v>
      </c>
      <c r="AZ116" s="45">
        <f t="shared" si="1968"/>
        <v>0</v>
      </c>
      <c r="BA116" s="66"/>
      <c r="BB116" s="67">
        <f t="shared" si="2225"/>
        <v>0</v>
      </c>
      <c r="BC116" s="67"/>
      <c r="BD116" s="45">
        <f t="shared" si="1970"/>
        <v>0</v>
      </c>
      <c r="BE116" s="66"/>
      <c r="BF116" s="44">
        <f t="shared" si="1971"/>
        <v>0</v>
      </c>
      <c r="BG116" s="44"/>
      <c r="BH116" s="45">
        <f t="shared" si="1973"/>
        <v>0</v>
      </c>
      <c r="BI116" s="66"/>
      <c r="BJ116" s="44">
        <f t="shared" si="1974"/>
        <v>0</v>
      </c>
      <c r="BK116" s="44"/>
      <c r="BL116" s="45">
        <f t="shared" si="1975"/>
        <v>0</v>
      </c>
      <c r="BM116" s="66"/>
      <c r="BN116" s="67">
        <f t="shared" si="1976"/>
        <v>0</v>
      </c>
      <c r="BO116" s="67"/>
      <c r="BP116" s="45">
        <f t="shared" si="1977"/>
        <v>0</v>
      </c>
      <c r="BQ116" s="66"/>
      <c r="BR116" s="44">
        <f t="shared" si="1978"/>
        <v>0</v>
      </c>
      <c r="BS116" s="67"/>
      <c r="BT116" s="45">
        <f t="shared" si="1979"/>
        <v>0</v>
      </c>
      <c r="BU116" s="66"/>
      <c r="BV116" s="44">
        <f t="shared" si="1980"/>
        <v>0</v>
      </c>
      <c r="BW116" s="67"/>
      <c r="BX116" s="45">
        <f t="shared" si="1981"/>
        <v>0</v>
      </c>
      <c r="BY116" s="66"/>
      <c r="BZ116" s="44">
        <f t="shared" si="1982"/>
        <v>0</v>
      </c>
      <c r="CA116" s="67"/>
      <c r="CB116" s="45">
        <f t="shared" si="2203"/>
        <v>0</v>
      </c>
      <c r="CC116" s="66"/>
      <c r="CD116" s="44">
        <f t="shared" si="1984"/>
        <v>0</v>
      </c>
      <c r="CE116" s="67"/>
      <c r="CF116" s="45">
        <f t="shared" si="2204"/>
        <v>0</v>
      </c>
      <c r="CG116" s="136"/>
      <c r="CH116" s="91">
        <f t="shared" si="1986"/>
        <v>0</v>
      </c>
      <c r="CI116" s="47">
        <f t="shared" si="1932"/>
        <v>0</v>
      </c>
      <c r="CJ116" s="47">
        <f t="shared" si="1933"/>
        <v>0</v>
      </c>
      <c r="CK116" s="48">
        <f t="shared" si="2012"/>
        <v>0</v>
      </c>
      <c r="CL116" s="49">
        <f t="shared" si="1935"/>
        <v>4</v>
      </c>
      <c r="CM116" s="50">
        <f t="shared" si="1936"/>
        <v>14000</v>
      </c>
      <c r="CO116" s="65"/>
      <c r="CP116" s="65"/>
    </row>
    <row r="117" spans="1:94" ht="26.25" customHeight="1" x14ac:dyDescent="0.25">
      <c r="A117" s="32"/>
      <c r="B117" s="74">
        <v>98</v>
      </c>
      <c r="C117" s="113" t="s">
        <v>83</v>
      </c>
      <c r="D117" s="112">
        <v>30</v>
      </c>
      <c r="E117" s="130">
        <f t="shared" si="1988"/>
        <v>30</v>
      </c>
      <c r="F117" s="44">
        <f>H117/D117</f>
        <v>1400</v>
      </c>
      <c r="G117" s="116"/>
      <c r="H117" s="45">
        <f>H102*0.03</f>
        <v>42000</v>
      </c>
      <c r="I117" s="66"/>
      <c r="J117" s="67">
        <f t="shared" si="1990"/>
        <v>0</v>
      </c>
      <c r="K117" s="67">
        <f>I117*$G$75</f>
        <v>0</v>
      </c>
      <c r="L117" s="45">
        <f t="shared" si="2013"/>
        <v>0</v>
      </c>
      <c r="M117" s="66"/>
      <c r="N117" s="67">
        <f t="shared" si="2205"/>
        <v>0</v>
      </c>
      <c r="O117" s="67">
        <f t="shared" si="2206"/>
        <v>0</v>
      </c>
      <c r="P117" s="45">
        <f t="shared" si="1941"/>
        <v>0</v>
      </c>
      <c r="Q117" s="66"/>
      <c r="R117" s="67">
        <f t="shared" si="2207"/>
        <v>0</v>
      </c>
      <c r="S117" s="67">
        <f t="shared" si="2208"/>
        <v>0</v>
      </c>
      <c r="T117" s="45">
        <f t="shared" si="1944"/>
        <v>0</v>
      </c>
      <c r="U117" s="66"/>
      <c r="V117" s="67">
        <f t="shared" si="2209"/>
        <v>0</v>
      </c>
      <c r="W117" s="67">
        <f t="shared" si="2210"/>
        <v>0</v>
      </c>
      <c r="X117" s="45">
        <f t="shared" si="1947"/>
        <v>0</v>
      </c>
      <c r="Y117" s="66"/>
      <c r="Z117" s="67">
        <f t="shared" si="2211"/>
        <v>0</v>
      </c>
      <c r="AA117" s="67">
        <f t="shared" si="2212"/>
        <v>0</v>
      </c>
      <c r="AB117" s="45">
        <f t="shared" si="1950"/>
        <v>0</v>
      </c>
      <c r="AC117" s="66"/>
      <c r="AD117" s="67">
        <f t="shared" si="2213"/>
        <v>0</v>
      </c>
      <c r="AE117" s="67">
        <f t="shared" si="2214"/>
        <v>0</v>
      </c>
      <c r="AF117" s="45">
        <f t="shared" si="1953"/>
        <v>0</v>
      </c>
      <c r="AG117" s="66"/>
      <c r="AH117" s="67">
        <f t="shared" si="2215"/>
        <v>0</v>
      </c>
      <c r="AI117" s="67">
        <f t="shared" si="2216"/>
        <v>0</v>
      </c>
      <c r="AJ117" s="45">
        <f t="shared" si="1956"/>
        <v>0</v>
      </c>
      <c r="AK117" s="66"/>
      <c r="AL117" s="67">
        <f t="shared" si="2217"/>
        <v>0</v>
      </c>
      <c r="AM117" s="67">
        <f t="shared" si="2218"/>
        <v>0</v>
      </c>
      <c r="AN117" s="45">
        <f t="shared" si="1959"/>
        <v>0</v>
      </c>
      <c r="AO117" s="66"/>
      <c r="AP117" s="67">
        <f t="shared" si="2219"/>
        <v>0</v>
      </c>
      <c r="AQ117" s="67">
        <f t="shared" si="2220"/>
        <v>0</v>
      </c>
      <c r="AR117" s="45">
        <f t="shared" si="1962"/>
        <v>0</v>
      </c>
      <c r="AS117" s="66"/>
      <c r="AT117" s="67">
        <f t="shared" si="2221"/>
        <v>0</v>
      </c>
      <c r="AU117" s="67">
        <f t="shared" si="2222"/>
        <v>0</v>
      </c>
      <c r="AV117" s="45">
        <f t="shared" si="1965"/>
        <v>0</v>
      </c>
      <c r="AW117" s="66"/>
      <c r="AX117" s="67">
        <f t="shared" si="2223"/>
        <v>0</v>
      </c>
      <c r="AY117" s="67">
        <f t="shared" si="2224"/>
        <v>0</v>
      </c>
      <c r="AZ117" s="45">
        <f t="shared" si="1968"/>
        <v>0</v>
      </c>
      <c r="BA117" s="66"/>
      <c r="BB117" s="67">
        <f t="shared" si="2225"/>
        <v>0</v>
      </c>
      <c r="BC117" s="67"/>
      <c r="BD117" s="45">
        <f t="shared" si="1970"/>
        <v>0</v>
      </c>
      <c r="BE117" s="66"/>
      <c r="BF117" s="44">
        <f t="shared" si="1971"/>
        <v>0</v>
      </c>
      <c r="BG117" s="44"/>
      <c r="BH117" s="45">
        <f t="shared" si="1973"/>
        <v>0</v>
      </c>
      <c r="BI117" s="66"/>
      <c r="BJ117" s="44">
        <f t="shared" si="1974"/>
        <v>0</v>
      </c>
      <c r="BK117" s="44"/>
      <c r="BL117" s="45">
        <f t="shared" si="1975"/>
        <v>0</v>
      </c>
      <c r="BM117" s="66"/>
      <c r="BN117" s="67">
        <f t="shared" si="1976"/>
        <v>0</v>
      </c>
      <c r="BO117" s="67"/>
      <c r="BP117" s="45">
        <f t="shared" si="1977"/>
        <v>0</v>
      </c>
      <c r="BQ117" s="66"/>
      <c r="BR117" s="44">
        <f t="shared" si="1978"/>
        <v>0</v>
      </c>
      <c r="BS117" s="67"/>
      <c r="BT117" s="45">
        <f t="shared" si="1979"/>
        <v>0</v>
      </c>
      <c r="BU117" s="66"/>
      <c r="BV117" s="44">
        <f t="shared" si="1980"/>
        <v>0</v>
      </c>
      <c r="BW117" s="67"/>
      <c r="BX117" s="45">
        <f t="shared" si="1981"/>
        <v>0</v>
      </c>
      <c r="BY117" s="66"/>
      <c r="BZ117" s="44">
        <f t="shared" si="1982"/>
        <v>0</v>
      </c>
      <c r="CA117" s="67"/>
      <c r="CB117" s="45">
        <f t="shared" si="2203"/>
        <v>0</v>
      </c>
      <c r="CC117" s="66"/>
      <c r="CD117" s="44">
        <f t="shared" si="1984"/>
        <v>0</v>
      </c>
      <c r="CE117" s="67"/>
      <c r="CF117" s="45">
        <f t="shared" si="2204"/>
        <v>0</v>
      </c>
      <c r="CG117" s="136"/>
      <c r="CH117" s="91">
        <f t="shared" si="1986"/>
        <v>0</v>
      </c>
      <c r="CI117" s="47">
        <f t="shared" si="1932"/>
        <v>0</v>
      </c>
      <c r="CJ117" s="47">
        <f t="shared" si="1933"/>
        <v>0</v>
      </c>
      <c r="CK117" s="48">
        <f t="shared" si="2012"/>
        <v>0</v>
      </c>
      <c r="CL117" s="49">
        <f t="shared" si="1935"/>
        <v>30</v>
      </c>
      <c r="CM117" s="50">
        <f t="shared" si="1936"/>
        <v>42000</v>
      </c>
      <c r="CO117" s="65"/>
      <c r="CP117" s="65"/>
    </row>
    <row r="118" spans="1:94" ht="26.25" customHeight="1" x14ac:dyDescent="0.25">
      <c r="A118" s="32"/>
      <c r="B118" s="74">
        <v>99</v>
      </c>
      <c r="C118" s="113" t="s">
        <v>61</v>
      </c>
      <c r="D118" s="112">
        <v>30</v>
      </c>
      <c r="E118" s="130">
        <f t="shared" si="1988"/>
        <v>30</v>
      </c>
      <c r="F118" s="44">
        <f t="shared" ref="F118" si="2226">H118/D118</f>
        <v>933.33333333333337</v>
      </c>
      <c r="G118" s="116"/>
      <c r="H118" s="45">
        <f>H102*0.02</f>
        <v>28000</v>
      </c>
      <c r="I118" s="66"/>
      <c r="J118" s="67">
        <f t="shared" si="1990"/>
        <v>0</v>
      </c>
      <c r="K118" s="67">
        <f>I118*$G$78</f>
        <v>0</v>
      </c>
      <c r="L118" s="45">
        <f t="shared" si="2013"/>
        <v>0</v>
      </c>
      <c r="M118" s="66"/>
      <c r="N118" s="67">
        <f t="shared" ref="N118" si="2227">M118*$F$78</f>
        <v>0</v>
      </c>
      <c r="O118" s="67">
        <f t="shared" ref="O118" si="2228">M118*$G$78</f>
        <v>0</v>
      </c>
      <c r="P118" s="45">
        <f t="shared" si="1941"/>
        <v>0</v>
      </c>
      <c r="Q118" s="66"/>
      <c r="R118" s="67">
        <f t="shared" ref="R118" si="2229">Q118*$F$78</f>
        <v>0</v>
      </c>
      <c r="S118" s="67">
        <f t="shared" ref="S118" si="2230">Q118*$G$78</f>
        <v>0</v>
      </c>
      <c r="T118" s="45">
        <f t="shared" si="1944"/>
        <v>0</v>
      </c>
      <c r="U118" s="66"/>
      <c r="V118" s="67">
        <f t="shared" ref="V118" si="2231">U118*$F$78</f>
        <v>0</v>
      </c>
      <c r="W118" s="67">
        <f t="shared" ref="W118" si="2232">U118*$G$78</f>
        <v>0</v>
      </c>
      <c r="X118" s="45">
        <f t="shared" si="1947"/>
        <v>0</v>
      </c>
      <c r="Y118" s="66"/>
      <c r="Z118" s="67">
        <f t="shared" ref="Z118" si="2233">Y118*$F$78</f>
        <v>0</v>
      </c>
      <c r="AA118" s="67">
        <f t="shared" ref="AA118" si="2234">Y118*$G$78</f>
        <v>0</v>
      </c>
      <c r="AB118" s="45">
        <f t="shared" si="1950"/>
        <v>0</v>
      </c>
      <c r="AC118" s="66"/>
      <c r="AD118" s="67">
        <f t="shared" ref="AD118" si="2235">AC118*$F$78</f>
        <v>0</v>
      </c>
      <c r="AE118" s="67">
        <f t="shared" ref="AE118" si="2236">AC118*$G$78</f>
        <v>0</v>
      </c>
      <c r="AF118" s="45">
        <f t="shared" si="1953"/>
        <v>0</v>
      </c>
      <c r="AG118" s="66"/>
      <c r="AH118" s="67">
        <f t="shared" ref="AH118" si="2237">AG118*$F$78</f>
        <v>0</v>
      </c>
      <c r="AI118" s="67">
        <f t="shared" ref="AI118" si="2238">AG118*$G$78</f>
        <v>0</v>
      </c>
      <c r="AJ118" s="45">
        <f t="shared" si="1956"/>
        <v>0</v>
      </c>
      <c r="AK118" s="66"/>
      <c r="AL118" s="67">
        <f t="shared" ref="AL118" si="2239">AK118*$F$78</f>
        <v>0</v>
      </c>
      <c r="AM118" s="67">
        <f t="shared" ref="AM118" si="2240">AK118*$G$78</f>
        <v>0</v>
      </c>
      <c r="AN118" s="45">
        <f t="shared" si="1959"/>
        <v>0</v>
      </c>
      <c r="AO118" s="66"/>
      <c r="AP118" s="67">
        <f t="shared" ref="AP118" si="2241">AO118*$F$78</f>
        <v>0</v>
      </c>
      <c r="AQ118" s="67">
        <f t="shared" ref="AQ118" si="2242">AO118*$G$78</f>
        <v>0</v>
      </c>
      <c r="AR118" s="45">
        <f t="shared" si="1962"/>
        <v>0</v>
      </c>
      <c r="AS118" s="66"/>
      <c r="AT118" s="67">
        <f t="shared" ref="AT118" si="2243">AS118*$F$78</f>
        <v>0</v>
      </c>
      <c r="AU118" s="67">
        <f t="shared" ref="AU118" si="2244">AS118*$G$78</f>
        <v>0</v>
      </c>
      <c r="AV118" s="45">
        <f t="shared" si="1965"/>
        <v>0</v>
      </c>
      <c r="AW118" s="66"/>
      <c r="AX118" s="67">
        <f t="shared" ref="AX118" si="2245">AW118*$F$78</f>
        <v>0</v>
      </c>
      <c r="AY118" s="67">
        <f t="shared" ref="AY118" si="2246">AW118*$G$78</f>
        <v>0</v>
      </c>
      <c r="AZ118" s="45">
        <f t="shared" si="1968"/>
        <v>0</v>
      </c>
      <c r="BA118" s="66"/>
      <c r="BB118" s="67">
        <f t="shared" ref="BB118" si="2247">BA118*$F$78</f>
        <v>0</v>
      </c>
      <c r="BC118" s="67">
        <f t="shared" ref="BC118" si="2248">BA118*$G$78</f>
        <v>0</v>
      </c>
      <c r="BD118" s="45">
        <f t="shared" si="1970"/>
        <v>0</v>
      </c>
      <c r="BE118" s="66"/>
      <c r="BF118" s="44">
        <f t="shared" si="1971"/>
        <v>0</v>
      </c>
      <c r="BG118" s="44">
        <f t="shared" ref="BG118" si="2249">G118*BE118</f>
        <v>0</v>
      </c>
      <c r="BH118" s="45">
        <f t="shared" si="1973"/>
        <v>0</v>
      </c>
      <c r="BI118" s="66"/>
      <c r="BJ118" s="44">
        <f t="shared" si="1974"/>
        <v>0</v>
      </c>
      <c r="BK118" s="44"/>
      <c r="BL118" s="45">
        <f t="shared" si="1975"/>
        <v>0</v>
      </c>
      <c r="BM118" s="66"/>
      <c r="BN118" s="67">
        <f t="shared" si="1976"/>
        <v>0</v>
      </c>
      <c r="BO118" s="67"/>
      <c r="BP118" s="45">
        <f t="shared" si="1977"/>
        <v>0</v>
      </c>
      <c r="BQ118" s="66"/>
      <c r="BR118" s="44">
        <f t="shared" si="1978"/>
        <v>0</v>
      </c>
      <c r="BS118" s="67"/>
      <c r="BT118" s="45">
        <f t="shared" si="1979"/>
        <v>0</v>
      </c>
      <c r="BU118" s="66"/>
      <c r="BV118" s="44">
        <f t="shared" si="1980"/>
        <v>0</v>
      </c>
      <c r="BW118" s="67"/>
      <c r="BX118" s="45">
        <f t="shared" si="1981"/>
        <v>0</v>
      </c>
      <c r="BY118" s="66"/>
      <c r="BZ118" s="44">
        <f t="shared" si="1982"/>
        <v>0</v>
      </c>
      <c r="CA118" s="67"/>
      <c r="CB118" s="45">
        <f t="shared" si="2203"/>
        <v>0</v>
      </c>
      <c r="CC118" s="66"/>
      <c r="CD118" s="44">
        <f t="shared" si="1984"/>
        <v>0</v>
      </c>
      <c r="CE118" s="67"/>
      <c r="CF118" s="45">
        <f t="shared" si="2204"/>
        <v>0</v>
      </c>
      <c r="CG118" s="136"/>
      <c r="CH118" s="91">
        <f t="shared" si="1986"/>
        <v>0</v>
      </c>
      <c r="CI118" s="47">
        <f t="shared" si="1932"/>
        <v>0</v>
      </c>
      <c r="CJ118" s="47">
        <f t="shared" si="1933"/>
        <v>0</v>
      </c>
      <c r="CK118" s="48">
        <f t="shared" si="2012"/>
        <v>0</v>
      </c>
      <c r="CL118" s="49">
        <f t="shared" si="1935"/>
        <v>30</v>
      </c>
      <c r="CM118" s="50">
        <f t="shared" si="1936"/>
        <v>28000</v>
      </c>
      <c r="CO118" s="65"/>
      <c r="CP118" s="65"/>
    </row>
    <row r="119" spans="1:94" ht="26.25" customHeight="1" x14ac:dyDescent="0.25">
      <c r="A119" s="32"/>
      <c r="B119" s="74">
        <v>100</v>
      </c>
      <c r="C119" s="119"/>
      <c r="D119" s="85"/>
      <c r="E119" s="85"/>
      <c r="F119" s="44"/>
      <c r="G119" s="44"/>
      <c r="H119" s="45">
        <f>F119</f>
        <v>0</v>
      </c>
      <c r="I119" s="66"/>
      <c r="J119" s="67"/>
      <c r="K119" s="67"/>
      <c r="L119" s="45"/>
      <c r="M119" s="66"/>
      <c r="N119" s="67"/>
      <c r="O119" s="67"/>
      <c r="P119" s="45"/>
      <c r="Q119" s="66"/>
      <c r="R119" s="67"/>
      <c r="S119" s="67"/>
      <c r="T119" s="45"/>
      <c r="U119" s="66"/>
      <c r="V119" s="67"/>
      <c r="W119" s="67"/>
      <c r="X119" s="45"/>
      <c r="Y119" s="66"/>
      <c r="Z119" s="45"/>
      <c r="AA119" s="45"/>
      <c r="AB119" s="121">
        <f>Z121*0.1247</f>
        <v>0</v>
      </c>
      <c r="AC119" s="66"/>
      <c r="AD119" s="67"/>
      <c r="AE119" s="67"/>
      <c r="AF119" s="45">
        <f>AD121*0.1247</f>
        <v>0</v>
      </c>
      <c r="AG119" s="66"/>
      <c r="AH119" s="67"/>
      <c r="AI119" s="67"/>
      <c r="AJ119" s="45">
        <f>0.1247*AH121</f>
        <v>0</v>
      </c>
      <c r="AK119" s="66"/>
      <c r="AL119" s="67"/>
      <c r="AM119" s="67"/>
      <c r="AN119" s="45">
        <f>0.1247*AL121</f>
        <v>0</v>
      </c>
      <c r="AO119" s="66"/>
      <c r="AP119" s="67"/>
      <c r="AQ119" s="67"/>
      <c r="AR119" s="45">
        <f>0.1247*AP121</f>
        <v>0</v>
      </c>
      <c r="AS119" s="66"/>
      <c r="AT119" s="67"/>
      <c r="AU119" s="67"/>
      <c r="AV119" s="45">
        <f>0.1247*AT121</f>
        <v>0</v>
      </c>
      <c r="AW119" s="66"/>
      <c r="AX119" s="67"/>
      <c r="AY119" s="67"/>
      <c r="AZ119" s="45">
        <f>0.1247*AX121</f>
        <v>0</v>
      </c>
      <c r="BA119" s="66"/>
      <c r="BB119" s="67"/>
      <c r="BC119" s="67"/>
      <c r="BD119" s="45">
        <f>0.1247*BB121</f>
        <v>0</v>
      </c>
      <c r="BE119" s="66"/>
      <c r="BF119" s="44">
        <f t="shared" ref="BF119" si="2250">F119*BE119</f>
        <v>0</v>
      </c>
      <c r="BG119" s="44">
        <f t="shared" ref="BG119" si="2251">G119*BE119</f>
        <v>0</v>
      </c>
      <c r="BH119" s="45">
        <f>0.1247*BF121</f>
        <v>0</v>
      </c>
      <c r="BI119" s="66"/>
      <c r="BJ119" s="44">
        <f t="shared" ref="BJ119" si="2252">BI119*F119</f>
        <v>0</v>
      </c>
      <c r="BK119" s="44"/>
      <c r="BL119" s="45">
        <f>0.1247*BJ121</f>
        <v>0</v>
      </c>
      <c r="BM119" s="66"/>
      <c r="BN119" s="67"/>
      <c r="BO119" s="67"/>
      <c r="BP119" s="45"/>
      <c r="BQ119" s="66"/>
      <c r="BR119" s="67"/>
      <c r="BS119" s="67"/>
      <c r="BT119" s="45"/>
      <c r="BU119" s="66"/>
      <c r="BV119" s="67"/>
      <c r="BW119" s="67"/>
      <c r="BX119" s="45"/>
      <c r="BY119" s="66"/>
      <c r="BZ119" s="67"/>
      <c r="CA119" s="67"/>
      <c r="CB119" s="45"/>
      <c r="CC119" s="66"/>
      <c r="CD119" s="67"/>
      <c r="CE119" s="67"/>
      <c r="CF119" s="45"/>
      <c r="CG119" s="136"/>
      <c r="CH119" s="91">
        <f t="shared" ref="CH119:CH120" si="2253">I119+M119+Q119+U119+Y119+AC119+AG119+AK119+AO119+BA119+BE119+BI119+BM119+BQ119+BU119+BY119+CC119</f>
        <v>0</v>
      </c>
      <c r="CI119" s="47">
        <f t="shared" si="1932"/>
        <v>0</v>
      </c>
      <c r="CJ119" s="47">
        <f t="shared" si="1933"/>
        <v>0</v>
      </c>
      <c r="CK119" s="48">
        <f t="shared" si="1937"/>
        <v>0</v>
      </c>
      <c r="CL119" s="49">
        <f t="shared" si="1935"/>
        <v>0</v>
      </c>
      <c r="CM119" s="50">
        <f t="shared" si="1936"/>
        <v>0</v>
      </c>
      <c r="CO119" s="65"/>
      <c r="CP119" s="65"/>
    </row>
    <row r="120" spans="1:94" ht="26.25" customHeight="1" x14ac:dyDescent="0.25">
      <c r="A120" s="32"/>
      <c r="B120" s="74">
        <v>101</v>
      </c>
      <c r="C120" s="114"/>
      <c r="D120" s="85"/>
      <c r="E120" s="85"/>
      <c r="F120" s="44"/>
      <c r="G120" s="44"/>
      <c r="H120" s="45">
        <f>SUM(H103:H118)</f>
        <v>1400000</v>
      </c>
      <c r="I120" s="66"/>
      <c r="J120" s="67"/>
      <c r="K120" s="67"/>
      <c r="L120" s="45"/>
      <c r="M120" s="66"/>
      <c r="N120" s="67"/>
      <c r="O120" s="67"/>
      <c r="P120" s="45"/>
      <c r="Q120" s="66"/>
      <c r="R120" s="67"/>
      <c r="S120" s="67"/>
      <c r="T120" s="45"/>
      <c r="U120" s="66"/>
      <c r="V120" s="67"/>
      <c r="W120" s="67"/>
      <c r="X120" s="45"/>
      <c r="Y120" s="66"/>
      <c r="Z120" s="67"/>
      <c r="AA120" s="67"/>
      <c r="AB120" s="45"/>
      <c r="AC120" s="66"/>
      <c r="AD120" s="67"/>
      <c r="AE120" s="67"/>
      <c r="AF120" s="45"/>
      <c r="AG120" s="66"/>
      <c r="AH120" s="67"/>
      <c r="AI120" s="67"/>
      <c r="AJ120" s="45"/>
      <c r="AK120" s="66"/>
      <c r="AL120" s="67"/>
      <c r="AM120" s="67"/>
      <c r="AN120" s="45"/>
      <c r="AO120" s="66"/>
      <c r="AP120" s="67"/>
      <c r="AQ120" s="67"/>
      <c r="AR120" s="45"/>
      <c r="AS120" s="66"/>
      <c r="AT120" s="67"/>
      <c r="AU120" s="67"/>
      <c r="AV120" s="45"/>
      <c r="AW120" s="66"/>
      <c r="AX120" s="67"/>
      <c r="AY120" s="67"/>
      <c r="AZ120" s="45"/>
      <c r="BA120" s="66"/>
      <c r="BB120" s="67"/>
      <c r="BC120" s="67"/>
      <c r="BD120" s="45"/>
      <c r="BE120" s="66"/>
      <c r="BF120" s="67"/>
      <c r="BG120" s="67"/>
      <c r="BH120" s="45"/>
      <c r="BI120" s="66"/>
      <c r="BJ120" s="67"/>
      <c r="BK120" s="67"/>
      <c r="BL120" s="45"/>
      <c r="BM120" s="66"/>
      <c r="BN120" s="67"/>
      <c r="BO120" s="67"/>
      <c r="BP120" s="45"/>
      <c r="BQ120" s="66"/>
      <c r="BR120" s="67"/>
      <c r="BS120" s="67"/>
      <c r="BT120" s="45"/>
      <c r="BU120" s="66"/>
      <c r="BV120" s="67"/>
      <c r="BW120" s="67"/>
      <c r="BX120" s="45"/>
      <c r="BY120" s="66"/>
      <c r="BZ120" s="67"/>
      <c r="CA120" s="67"/>
      <c r="CB120" s="45"/>
      <c r="CC120" s="66"/>
      <c r="CD120" s="67"/>
      <c r="CE120" s="67"/>
      <c r="CF120" s="45"/>
      <c r="CG120" s="136"/>
      <c r="CH120" s="91">
        <f t="shared" si="2253"/>
        <v>0</v>
      </c>
      <c r="CI120" s="47">
        <f t="shared" si="1932"/>
        <v>0</v>
      </c>
      <c r="CJ120" s="47">
        <f t="shared" si="1933"/>
        <v>0</v>
      </c>
      <c r="CK120" s="48">
        <f t="shared" si="1937"/>
        <v>0</v>
      </c>
      <c r="CL120" s="49">
        <f t="shared" si="1935"/>
        <v>0</v>
      </c>
      <c r="CM120" s="50">
        <f t="shared" si="1936"/>
        <v>1400000</v>
      </c>
      <c r="CO120" s="65"/>
      <c r="CP120" s="65"/>
    </row>
    <row r="121" spans="1:94" s="63" customFormat="1" ht="26.25" customHeight="1" x14ac:dyDescent="0.25">
      <c r="A121" s="32"/>
      <c r="B121" s="74">
        <v>102</v>
      </c>
      <c r="C121" s="81"/>
      <c r="D121" s="279" t="s">
        <v>29</v>
      </c>
      <c r="E121" s="280"/>
      <c r="F121" s="280"/>
      <c r="G121" s="281"/>
      <c r="H121" s="58">
        <f>SUM(H13,H29,H44,H62,H82,H102)</f>
        <v>4000000</v>
      </c>
      <c r="I121" s="86" t="s">
        <v>30</v>
      </c>
      <c r="J121" s="59">
        <f>SUM(J14:J120)</f>
        <v>0</v>
      </c>
      <c r="K121" s="59">
        <f>SUM(K14:K120)</f>
        <v>0</v>
      </c>
      <c r="L121" s="58">
        <f>SUM(J121:K121)</f>
        <v>0</v>
      </c>
      <c r="M121" s="86" t="s">
        <v>30</v>
      </c>
      <c r="N121" s="59">
        <f>SUM(N14:N120)</f>
        <v>0</v>
      </c>
      <c r="O121" s="59">
        <f>SUM(O14:O120)</f>
        <v>0</v>
      </c>
      <c r="P121" s="58">
        <f>SUM(N121:O121)</f>
        <v>0</v>
      </c>
      <c r="Q121" s="86" t="s">
        <v>30</v>
      </c>
      <c r="R121" s="59">
        <f>SUM(R14:R120)</f>
        <v>0</v>
      </c>
      <c r="S121" s="59">
        <f>SUM(S14:S120)</f>
        <v>0</v>
      </c>
      <c r="T121" s="58">
        <f>SUM(R121:S121)</f>
        <v>0</v>
      </c>
      <c r="U121" s="86" t="s">
        <v>30</v>
      </c>
      <c r="V121" s="59">
        <f>SUM(V14:V120)</f>
        <v>0</v>
      </c>
      <c r="W121" s="59">
        <f>SUM(W14:W120)</f>
        <v>0</v>
      </c>
      <c r="X121" s="58">
        <f>SUM(V121:W121)</f>
        <v>0</v>
      </c>
      <c r="Y121" s="86" t="s">
        <v>30</v>
      </c>
      <c r="Z121" s="120">
        <f>SUM(Z14:Z120)</f>
        <v>0</v>
      </c>
      <c r="AA121" s="59">
        <f>SUM(AA14:AA120)</f>
        <v>0</v>
      </c>
      <c r="AB121" s="58">
        <f>SUM(Z121:AA121)</f>
        <v>0</v>
      </c>
      <c r="AC121" s="86" t="s">
        <v>30</v>
      </c>
      <c r="AD121" s="59">
        <f>SUM(AD14:AD120)</f>
        <v>0</v>
      </c>
      <c r="AE121" s="59">
        <f>SUM(AE14:AE120)</f>
        <v>0</v>
      </c>
      <c r="AF121" s="58">
        <f>SUM(AD121:AE121)</f>
        <v>0</v>
      </c>
      <c r="AG121" s="86" t="s">
        <v>30</v>
      </c>
      <c r="AH121" s="59">
        <f>SUM(AH14:AH120)</f>
        <v>0</v>
      </c>
      <c r="AI121" s="59">
        <f>SUM(AI14:AI120)</f>
        <v>0</v>
      </c>
      <c r="AJ121" s="58">
        <f>SUM(AH121:AI121)</f>
        <v>0</v>
      </c>
      <c r="AK121" s="86" t="s">
        <v>30</v>
      </c>
      <c r="AL121" s="59">
        <f>SUM(AL14:AL120)</f>
        <v>0</v>
      </c>
      <c r="AM121" s="59">
        <f>SUM(AM14:AM120)</f>
        <v>0</v>
      </c>
      <c r="AN121" s="58">
        <f>SUM(AL121:AM121)</f>
        <v>0</v>
      </c>
      <c r="AO121" s="86" t="s">
        <v>30</v>
      </c>
      <c r="AP121" s="59">
        <f>SUM(AP14:AP120)</f>
        <v>0</v>
      </c>
      <c r="AQ121" s="59">
        <f>SUM(AQ14:AQ120)</f>
        <v>0</v>
      </c>
      <c r="AR121" s="58">
        <f>SUM(AP121:AQ121)</f>
        <v>0</v>
      </c>
      <c r="AS121" s="86" t="s">
        <v>30</v>
      </c>
      <c r="AT121" s="59">
        <f>SUM(AT14:AT120)</f>
        <v>0</v>
      </c>
      <c r="AU121" s="59">
        <f>SUM(AU14:AU120)</f>
        <v>0</v>
      </c>
      <c r="AV121" s="58">
        <f>SUM(AT121:AU121)</f>
        <v>0</v>
      </c>
      <c r="AW121" s="86" t="s">
        <v>30</v>
      </c>
      <c r="AX121" s="59">
        <f>SUM(AX14:AX120)</f>
        <v>0</v>
      </c>
      <c r="AY121" s="59">
        <f>SUM(AY14:AY120)</f>
        <v>0</v>
      </c>
      <c r="AZ121" s="58">
        <f>SUM(AX121:AY121)</f>
        <v>0</v>
      </c>
      <c r="BA121" s="86" t="s">
        <v>30</v>
      </c>
      <c r="BB121" s="59">
        <f>SUM(BB14:BB120)</f>
        <v>0</v>
      </c>
      <c r="BC121" s="59">
        <f>SUM(BC14:BC120)</f>
        <v>0</v>
      </c>
      <c r="BD121" s="58">
        <f>SUM(BB121:BC121)</f>
        <v>0</v>
      </c>
      <c r="BE121" s="86" t="s">
        <v>30</v>
      </c>
      <c r="BF121" s="59">
        <f>SUM(BF14:BF120)</f>
        <v>0</v>
      </c>
      <c r="BG121" s="59"/>
      <c r="BH121" s="58">
        <f>SUM(BF121:BG121)</f>
        <v>0</v>
      </c>
      <c r="BI121" s="86" t="s">
        <v>30</v>
      </c>
      <c r="BJ121" s="59">
        <f>SUM(BJ14:BJ120)</f>
        <v>0</v>
      </c>
      <c r="BK121" s="59"/>
      <c r="BL121" s="58">
        <f>SUM(BJ121:BK121)</f>
        <v>0</v>
      </c>
      <c r="BM121" s="86"/>
      <c r="BN121" s="59"/>
      <c r="BO121" s="59"/>
      <c r="BP121" s="58">
        <f>SUM(BP14:BP24,BP30:BP40,BP45:BP57,BP63:BP78,BP83:BP98,BP103:BP119)</f>
        <v>0</v>
      </c>
      <c r="BQ121" s="86"/>
      <c r="BR121" s="59"/>
      <c r="BS121" s="59"/>
      <c r="BT121" s="58">
        <f>SUM(BT14:BT24,BT30:BT40,BT45:BT57,BT63:BT78,BT83:BT98,BT103:BT119)</f>
        <v>0</v>
      </c>
      <c r="BU121" s="86"/>
      <c r="BV121" s="59"/>
      <c r="BW121" s="59"/>
      <c r="BX121" s="58">
        <f>SUM(BX14:BX24,BX30:BX40,BX45:BX57,BX63:BX78,BX83:BX98,BX103:BX119)</f>
        <v>0</v>
      </c>
      <c r="BY121" s="86"/>
      <c r="BZ121" s="59"/>
      <c r="CA121" s="59"/>
      <c r="CB121" s="58">
        <f>SUM(CB14:CB24,CB30:CB40,CB45:CB57,CB63:CB78,CB83:CB98,CB103:CB119)</f>
        <v>0</v>
      </c>
      <c r="CC121" s="86"/>
      <c r="CD121" s="59"/>
      <c r="CE121" s="59"/>
      <c r="CF121" s="58">
        <f>SUM(CF14:CF24,CF30:CF40,CF45:CF57,CF63:CF78,CF83:CF98,CF103:CF119)</f>
        <v>0</v>
      </c>
      <c r="CG121" s="138"/>
      <c r="CH121" s="60" t="s">
        <v>30</v>
      </c>
      <c r="CI121" s="61">
        <f>SUM(CI21:CI120)</f>
        <v>0</v>
      </c>
      <c r="CJ121" s="61">
        <f>SUM(CJ21:CJ120)</f>
        <v>0</v>
      </c>
      <c r="CK121" s="61">
        <f>SUM(CK21:CK120)</f>
        <v>0</v>
      </c>
      <c r="CL121" s="61"/>
      <c r="CM121" s="62">
        <f>CM27+CM42+CM59+CM80+CM100+CM120</f>
        <v>4000000</v>
      </c>
    </row>
    <row r="122" spans="1:94" ht="26.25" customHeight="1" thickBot="1" x14ac:dyDescent="0.3">
      <c r="A122" s="32"/>
      <c r="B122" s="77"/>
      <c r="C122" s="90" t="s">
        <v>42</v>
      </c>
      <c r="D122" s="64">
        <v>1</v>
      </c>
      <c r="E122" s="118"/>
      <c r="F122" s="282"/>
      <c r="G122" s="283"/>
      <c r="H122" s="70"/>
      <c r="I122" s="232"/>
      <c r="J122" s="233"/>
      <c r="K122" s="233"/>
      <c r="L122" s="234"/>
      <c r="M122" s="232"/>
      <c r="N122" s="233"/>
      <c r="O122" s="233"/>
      <c r="P122" s="234"/>
      <c r="Q122" s="232"/>
      <c r="R122" s="233"/>
      <c r="S122" s="233"/>
      <c r="T122" s="234"/>
      <c r="U122" s="232"/>
      <c r="V122" s="233"/>
      <c r="W122" s="233"/>
      <c r="X122" s="234"/>
      <c r="Y122" s="232"/>
      <c r="Z122" s="233"/>
      <c r="AA122" s="233"/>
      <c r="AB122" s="234"/>
      <c r="AC122" s="232"/>
      <c r="AD122" s="233"/>
      <c r="AE122" s="233"/>
      <c r="AF122" s="234"/>
      <c r="AG122" s="232"/>
      <c r="AH122" s="233"/>
      <c r="AI122" s="233"/>
      <c r="AJ122" s="234"/>
      <c r="AK122" s="232"/>
      <c r="AL122" s="233"/>
      <c r="AM122" s="233"/>
      <c r="AN122" s="234"/>
      <c r="AO122" s="232"/>
      <c r="AP122" s="233"/>
      <c r="AQ122" s="233"/>
      <c r="AR122" s="234"/>
      <c r="AS122" s="129"/>
      <c r="AT122" s="129"/>
      <c r="AU122" s="129"/>
      <c r="AV122" s="129"/>
      <c r="AW122" s="129"/>
      <c r="AX122" s="129"/>
      <c r="AY122" s="129"/>
      <c r="AZ122" s="129"/>
      <c r="BA122" s="232"/>
      <c r="BB122" s="233"/>
      <c r="BC122" s="233"/>
      <c r="BD122" s="234"/>
      <c r="BE122" s="232"/>
      <c r="BF122" s="233"/>
      <c r="BG122" s="233"/>
      <c r="BH122" s="234"/>
      <c r="BI122" s="232"/>
      <c r="BJ122" s="233"/>
      <c r="BK122" s="233"/>
      <c r="BL122" s="234"/>
      <c r="BM122" s="232"/>
      <c r="BN122" s="233"/>
      <c r="BO122" s="233"/>
      <c r="BP122" s="234"/>
      <c r="BQ122" s="232"/>
      <c r="BR122" s="233"/>
      <c r="BS122" s="233"/>
      <c r="BT122" s="234"/>
      <c r="BU122" s="232"/>
      <c r="BV122" s="233"/>
      <c r="BW122" s="233"/>
      <c r="BX122" s="234"/>
      <c r="BY122" s="232"/>
      <c r="BZ122" s="233"/>
      <c r="CA122" s="233"/>
      <c r="CB122" s="234"/>
      <c r="CC122" s="232"/>
      <c r="CD122" s="233"/>
      <c r="CE122" s="233"/>
      <c r="CF122" s="234"/>
      <c r="CG122" s="129"/>
      <c r="CH122" s="243" t="s">
        <v>31</v>
      </c>
      <c r="CI122" s="244"/>
      <c r="CJ122" s="244"/>
      <c r="CK122" s="203">
        <f>CK121</f>
        <v>0</v>
      </c>
      <c r="CL122" s="202" t="s">
        <v>32</v>
      </c>
      <c r="CM122" s="201">
        <f>H121-CK122</f>
        <v>4000000</v>
      </c>
    </row>
    <row r="123" spans="1:94" ht="26.25" hidden="1" customHeight="1" thickBot="1" x14ac:dyDescent="0.3">
      <c r="A123" s="68"/>
      <c r="B123" s="245"/>
      <c r="C123" s="246"/>
      <c r="D123" s="251" t="s">
        <v>43</v>
      </c>
      <c r="E123" s="252"/>
      <c r="F123" s="252"/>
      <c r="G123" s="252"/>
      <c r="H123" s="252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  <c r="AA123" s="69"/>
      <c r="AB123" s="69"/>
      <c r="AC123" s="69"/>
      <c r="AD123" s="69"/>
      <c r="AE123" s="69"/>
      <c r="AF123" s="69"/>
      <c r="AG123" s="69"/>
      <c r="AH123" s="69"/>
      <c r="AI123" s="69"/>
      <c r="AJ123" s="69"/>
      <c r="AK123" s="69"/>
      <c r="AL123" s="69"/>
      <c r="AM123" s="69"/>
      <c r="AN123" s="69"/>
      <c r="AO123" s="69"/>
      <c r="AP123" s="69"/>
      <c r="AQ123" s="69"/>
      <c r="AR123" s="69"/>
      <c r="AS123" s="69"/>
      <c r="AT123" s="69"/>
      <c r="AU123" s="69"/>
      <c r="AV123" s="69"/>
      <c r="AW123" s="69"/>
      <c r="AX123" s="69"/>
      <c r="AY123" s="69"/>
      <c r="AZ123" s="69"/>
      <c r="BA123" s="69"/>
      <c r="BB123" s="69"/>
      <c r="BC123" s="69"/>
      <c r="BD123" s="69"/>
      <c r="BE123" s="69"/>
      <c r="BF123" s="69"/>
      <c r="BG123" s="69"/>
      <c r="BH123" s="69"/>
      <c r="BI123" s="69"/>
      <c r="BJ123" s="69"/>
      <c r="BK123" s="69"/>
      <c r="BL123" s="69"/>
      <c r="BM123" s="69"/>
      <c r="BN123" s="69"/>
      <c r="BO123" s="69"/>
      <c r="BP123" s="69"/>
      <c r="BQ123" s="69"/>
      <c r="BR123" s="69"/>
      <c r="BS123" s="69"/>
      <c r="BT123" s="69"/>
      <c r="BU123" s="69"/>
      <c r="BV123" s="69"/>
      <c r="BW123" s="69"/>
      <c r="BX123" s="69"/>
      <c r="BY123" s="69"/>
      <c r="BZ123" s="69"/>
      <c r="CA123" s="69"/>
      <c r="CB123" s="69"/>
      <c r="CC123" s="69"/>
      <c r="CD123" s="69"/>
      <c r="CE123" s="69"/>
      <c r="CF123" s="69"/>
      <c r="CG123" s="69"/>
      <c r="CH123" s="253"/>
      <c r="CI123" s="253"/>
      <c r="CJ123" s="253"/>
      <c r="CK123" s="253"/>
      <c r="CL123" s="253"/>
      <c r="CM123" s="253"/>
    </row>
    <row r="124" spans="1:94" ht="24.95" hidden="1" customHeight="1" x14ac:dyDescent="0.25">
      <c r="A124" s="68"/>
      <c r="B124" s="247"/>
      <c r="C124" s="248"/>
      <c r="D124" s="255" t="s">
        <v>44</v>
      </c>
      <c r="E124" s="256"/>
      <c r="F124" s="256"/>
      <c r="G124" s="256"/>
      <c r="H124" s="257"/>
      <c r="I124" s="235" t="e">
        <f>#REF!</f>
        <v>#REF!</v>
      </c>
      <c r="J124" s="236"/>
      <c r="K124" s="236"/>
      <c r="L124" s="237"/>
      <c r="M124" s="235" t="e">
        <f>#REF!</f>
        <v>#REF!</v>
      </c>
      <c r="N124" s="236"/>
      <c r="O124" s="236"/>
      <c r="P124" s="237"/>
      <c r="Q124" s="235" t="e">
        <f>#REF!</f>
        <v>#REF!</v>
      </c>
      <c r="R124" s="236"/>
      <c r="S124" s="236"/>
      <c r="T124" s="237"/>
      <c r="U124" s="235" t="e">
        <f>#REF!</f>
        <v>#REF!</v>
      </c>
      <c r="V124" s="236"/>
      <c r="W124" s="236"/>
      <c r="X124" s="237"/>
      <c r="Y124" s="235" t="e">
        <f>#REF!</f>
        <v>#REF!</v>
      </c>
      <c r="Z124" s="236"/>
      <c r="AA124" s="236"/>
      <c r="AB124" s="237"/>
      <c r="AC124" s="235" t="e">
        <f>#REF!</f>
        <v>#REF!</v>
      </c>
      <c r="AD124" s="236"/>
      <c r="AE124" s="236"/>
      <c r="AF124" s="237"/>
      <c r="AG124" s="235" t="e">
        <f>#REF!</f>
        <v>#REF!</v>
      </c>
      <c r="AH124" s="236"/>
      <c r="AI124" s="236"/>
      <c r="AJ124" s="237"/>
      <c r="AK124" s="235" t="e">
        <f>#REF!</f>
        <v>#REF!</v>
      </c>
      <c r="AL124" s="236"/>
      <c r="AM124" s="236"/>
      <c r="AN124" s="237"/>
      <c r="AO124" s="235" t="e">
        <f>#REF!</f>
        <v>#REF!</v>
      </c>
      <c r="AP124" s="236"/>
      <c r="AQ124" s="236"/>
      <c r="AR124" s="237"/>
      <c r="AS124" s="235" t="e">
        <f>#REF!</f>
        <v>#REF!</v>
      </c>
      <c r="AT124" s="236"/>
      <c r="AU124" s="236"/>
      <c r="AV124" s="237"/>
      <c r="AW124" s="235" t="e">
        <f>#REF!</f>
        <v>#REF!</v>
      </c>
      <c r="AX124" s="236"/>
      <c r="AY124" s="236"/>
      <c r="AZ124" s="237"/>
      <c r="BA124" s="235" t="e">
        <f>#REF!</f>
        <v>#REF!</v>
      </c>
      <c r="BB124" s="236"/>
      <c r="BC124" s="236"/>
      <c r="BD124" s="237"/>
      <c r="BE124" s="235" t="e">
        <f>#REF!</f>
        <v>#REF!</v>
      </c>
      <c r="BF124" s="236"/>
      <c r="BG124" s="236"/>
      <c r="BH124" s="237"/>
      <c r="BI124" s="235" t="e">
        <f>#REF!</f>
        <v>#REF!</v>
      </c>
      <c r="BJ124" s="236"/>
      <c r="BK124" s="236"/>
      <c r="BL124" s="237"/>
      <c r="BM124" s="235" t="e">
        <f>#REF!</f>
        <v>#REF!</v>
      </c>
      <c r="BN124" s="236"/>
      <c r="BO124" s="236"/>
      <c r="BP124" s="237"/>
      <c r="BQ124" s="235" t="e">
        <f>#REF!</f>
        <v>#REF!</v>
      </c>
      <c r="BR124" s="236"/>
      <c r="BS124" s="236"/>
      <c r="BT124" s="237"/>
      <c r="BU124" s="235" t="e">
        <f>#REF!</f>
        <v>#REF!</v>
      </c>
      <c r="BV124" s="236"/>
      <c r="BW124" s="236"/>
      <c r="BX124" s="237"/>
      <c r="BY124" s="235" t="e">
        <f>#REF!</f>
        <v>#REF!</v>
      </c>
      <c r="BZ124" s="236"/>
      <c r="CA124" s="236"/>
      <c r="CB124" s="237"/>
      <c r="CC124" s="235" t="e">
        <f>#REF!</f>
        <v>#REF!</v>
      </c>
      <c r="CD124" s="236"/>
      <c r="CE124" s="236"/>
      <c r="CF124" s="237"/>
      <c r="CG124" s="141"/>
      <c r="CH124" s="254"/>
      <c r="CI124" s="254"/>
      <c r="CJ124" s="254"/>
      <c r="CK124" s="254"/>
      <c r="CL124" s="254"/>
      <c r="CM124" s="254"/>
    </row>
    <row r="125" spans="1:94" ht="24.95" hidden="1" customHeight="1" x14ac:dyDescent="0.25">
      <c r="A125" s="68"/>
      <c r="B125" s="247"/>
      <c r="C125" s="248"/>
      <c r="D125" s="206" t="s">
        <v>45</v>
      </c>
      <c r="E125" s="207"/>
      <c r="F125" s="207"/>
      <c r="G125" s="207"/>
      <c r="H125" s="207"/>
      <c r="I125" s="211" t="e">
        <f>#REF!</f>
        <v>#REF!</v>
      </c>
      <c r="J125" s="212"/>
      <c r="K125" s="212"/>
      <c r="L125" s="213"/>
      <c r="M125" s="211" t="e">
        <f>#REF!</f>
        <v>#REF!</v>
      </c>
      <c r="N125" s="212"/>
      <c r="O125" s="212"/>
      <c r="P125" s="213"/>
      <c r="Q125" s="211" t="e">
        <f>#REF!</f>
        <v>#REF!</v>
      </c>
      <c r="R125" s="212"/>
      <c r="S125" s="212"/>
      <c r="T125" s="213"/>
      <c r="U125" s="211" t="e">
        <f>#REF!</f>
        <v>#REF!</v>
      </c>
      <c r="V125" s="212"/>
      <c r="W125" s="212"/>
      <c r="X125" s="213"/>
      <c r="Y125" s="211" t="e">
        <f>#REF!</f>
        <v>#REF!</v>
      </c>
      <c r="Z125" s="212"/>
      <c r="AA125" s="212"/>
      <c r="AB125" s="213"/>
      <c r="AC125" s="211" t="e">
        <f>#REF!</f>
        <v>#REF!</v>
      </c>
      <c r="AD125" s="212"/>
      <c r="AE125" s="212"/>
      <c r="AF125" s="213"/>
      <c r="AG125" s="211" t="e">
        <f>#REF!</f>
        <v>#REF!</v>
      </c>
      <c r="AH125" s="212"/>
      <c r="AI125" s="212"/>
      <c r="AJ125" s="213"/>
      <c r="AK125" s="211" t="e">
        <f>#REF!</f>
        <v>#REF!</v>
      </c>
      <c r="AL125" s="212"/>
      <c r="AM125" s="212"/>
      <c r="AN125" s="213"/>
      <c r="AO125" s="211" t="e">
        <f>#REF!</f>
        <v>#REF!</v>
      </c>
      <c r="AP125" s="212"/>
      <c r="AQ125" s="212"/>
      <c r="AR125" s="213"/>
      <c r="AS125" s="211" t="e">
        <f>#REF!</f>
        <v>#REF!</v>
      </c>
      <c r="AT125" s="212"/>
      <c r="AU125" s="212"/>
      <c r="AV125" s="213"/>
      <c r="AW125" s="211" t="e">
        <f>#REF!</f>
        <v>#REF!</v>
      </c>
      <c r="AX125" s="212"/>
      <c r="AY125" s="212"/>
      <c r="AZ125" s="213"/>
      <c r="BA125" s="211" t="e">
        <f>#REF!</f>
        <v>#REF!</v>
      </c>
      <c r="BB125" s="212"/>
      <c r="BC125" s="212"/>
      <c r="BD125" s="213"/>
      <c r="BE125" s="211"/>
      <c r="BF125" s="212"/>
      <c r="BG125" s="212"/>
      <c r="BH125" s="213"/>
      <c r="BI125" s="211" t="e">
        <f>#REF!</f>
        <v>#REF!</v>
      </c>
      <c r="BJ125" s="212"/>
      <c r="BK125" s="212"/>
      <c r="BL125" s="213"/>
      <c r="BM125" s="211" t="e">
        <f>#REF!</f>
        <v>#REF!</v>
      </c>
      <c r="BN125" s="212"/>
      <c r="BO125" s="212"/>
      <c r="BP125" s="213"/>
      <c r="BQ125" s="211" t="e">
        <f>#REF!</f>
        <v>#REF!</v>
      </c>
      <c r="BR125" s="212"/>
      <c r="BS125" s="212"/>
      <c r="BT125" s="213"/>
      <c r="BU125" s="211" t="e">
        <f>#REF!</f>
        <v>#REF!</v>
      </c>
      <c r="BV125" s="212"/>
      <c r="BW125" s="212"/>
      <c r="BX125" s="213"/>
      <c r="BY125" s="211" t="e">
        <f>#REF!</f>
        <v>#REF!</v>
      </c>
      <c r="BZ125" s="212"/>
      <c r="CA125" s="212"/>
      <c r="CB125" s="213"/>
      <c r="CC125" s="211" t="e">
        <f>#REF!</f>
        <v>#REF!</v>
      </c>
      <c r="CD125" s="212"/>
      <c r="CE125" s="212"/>
      <c r="CF125" s="213"/>
      <c r="CG125" s="141"/>
      <c r="CH125" s="254"/>
      <c r="CI125" s="254"/>
      <c r="CJ125" s="254"/>
      <c r="CK125" s="254"/>
      <c r="CL125" s="254"/>
      <c r="CM125" s="254"/>
    </row>
    <row r="126" spans="1:94" ht="24.95" hidden="1" customHeight="1" x14ac:dyDescent="0.25">
      <c r="A126" s="68"/>
      <c r="B126" s="247"/>
      <c r="C126" s="248"/>
      <c r="D126" s="206" t="s">
        <v>68</v>
      </c>
      <c r="E126" s="207"/>
      <c r="F126" s="207"/>
      <c r="G126" s="207"/>
      <c r="H126" s="238"/>
      <c r="I126" s="122"/>
      <c r="J126" s="123"/>
      <c r="K126" s="123"/>
      <c r="L126" s="124"/>
      <c r="M126" s="122"/>
      <c r="N126" s="123"/>
      <c r="O126" s="123"/>
      <c r="P126" s="124"/>
      <c r="Q126" s="122"/>
      <c r="R126" s="123"/>
      <c r="S126" s="123"/>
      <c r="T126" s="124"/>
      <c r="U126" s="122"/>
      <c r="V126" s="123"/>
      <c r="W126" s="123"/>
      <c r="X126" s="124"/>
      <c r="Y126" s="211" t="e">
        <f>#REF!</f>
        <v>#REF!</v>
      </c>
      <c r="Z126" s="212"/>
      <c r="AA126" s="212"/>
      <c r="AB126" s="213"/>
      <c r="AC126" s="211" t="e">
        <f>#REF!</f>
        <v>#REF!</v>
      </c>
      <c r="AD126" s="212"/>
      <c r="AE126" s="212"/>
      <c r="AF126" s="213"/>
      <c r="AG126" s="211" t="e">
        <f>#REF!</f>
        <v>#REF!</v>
      </c>
      <c r="AH126" s="212"/>
      <c r="AI126" s="212"/>
      <c r="AJ126" s="213"/>
      <c r="AK126" s="122"/>
      <c r="AL126" s="123"/>
      <c r="AM126" s="123"/>
      <c r="AN126" s="124"/>
      <c r="AO126" s="122"/>
      <c r="AP126" s="123"/>
      <c r="AQ126" s="123"/>
      <c r="AR126" s="124"/>
      <c r="AS126" s="122"/>
      <c r="AT126" s="123"/>
      <c r="AU126" s="123"/>
      <c r="AV126" s="124"/>
      <c r="AW126" s="122"/>
      <c r="AX126" s="123"/>
      <c r="AY126" s="123"/>
      <c r="AZ126" s="124"/>
      <c r="BA126" s="211" t="e">
        <f>#REF!</f>
        <v>#REF!</v>
      </c>
      <c r="BB126" s="212"/>
      <c r="BC126" s="212"/>
      <c r="BD126" s="213"/>
      <c r="BE126" s="211" t="e">
        <f>BE124*0.1247</f>
        <v>#REF!</v>
      </c>
      <c r="BF126" s="212"/>
      <c r="BG126" s="212"/>
      <c r="BH126" s="213"/>
      <c r="BI126" s="211" t="e">
        <f>0.1247*BI124</f>
        <v>#REF!</v>
      </c>
      <c r="BJ126" s="212"/>
      <c r="BK126" s="212"/>
      <c r="BL126" s="213"/>
      <c r="BM126" s="211" t="e">
        <f>0.1247*BM124</f>
        <v>#REF!</v>
      </c>
      <c r="BN126" s="212"/>
      <c r="BO126" s="212"/>
      <c r="BP126" s="213"/>
      <c r="BQ126" s="211" t="e">
        <f>0.1247*BQ124</f>
        <v>#REF!</v>
      </c>
      <c r="BR126" s="212"/>
      <c r="BS126" s="212"/>
      <c r="BT126" s="213"/>
      <c r="BU126" s="211" t="e">
        <f>0.1247*BU124</f>
        <v>#REF!</v>
      </c>
      <c r="BV126" s="212"/>
      <c r="BW126" s="212"/>
      <c r="BX126" s="213"/>
      <c r="BY126" s="211" t="e">
        <f>0.1247*BY124</f>
        <v>#REF!</v>
      </c>
      <c r="BZ126" s="212"/>
      <c r="CA126" s="212"/>
      <c r="CB126" s="213"/>
      <c r="CC126" s="211" t="e">
        <f>0.1247*CC124</f>
        <v>#REF!</v>
      </c>
      <c r="CD126" s="212"/>
      <c r="CE126" s="212"/>
      <c r="CF126" s="213"/>
      <c r="CG126" s="141"/>
      <c r="CH126" s="254"/>
      <c r="CI126" s="254"/>
      <c r="CJ126" s="254"/>
      <c r="CK126" s="254"/>
      <c r="CL126" s="254"/>
      <c r="CM126" s="254"/>
    </row>
    <row r="127" spans="1:94" ht="24.95" hidden="1" customHeight="1" x14ac:dyDescent="0.25">
      <c r="A127" s="68"/>
      <c r="B127" s="247"/>
      <c r="C127" s="248"/>
      <c r="D127" s="206" t="s">
        <v>69</v>
      </c>
      <c r="E127" s="207"/>
      <c r="F127" s="207"/>
      <c r="G127" s="207"/>
      <c r="H127" s="238"/>
      <c r="I127" s="122"/>
      <c r="J127" s="123"/>
      <c r="K127" s="123"/>
      <c r="L127" s="124"/>
      <c r="M127" s="122"/>
      <c r="N127" s="123"/>
      <c r="O127" s="123"/>
      <c r="P127" s="124"/>
      <c r="Q127" s="122"/>
      <c r="R127" s="123"/>
      <c r="S127" s="123"/>
      <c r="T127" s="124"/>
      <c r="U127" s="122"/>
      <c r="V127" s="123"/>
      <c r="W127" s="123"/>
      <c r="X127" s="124"/>
      <c r="Y127" s="122"/>
      <c r="Z127" s="123"/>
      <c r="AA127" s="123"/>
      <c r="AB127" s="124"/>
      <c r="AC127" s="122"/>
      <c r="AD127" s="123"/>
      <c r="AE127" s="123"/>
      <c r="AF127" s="124"/>
      <c r="AG127" s="122"/>
      <c r="AH127" s="123"/>
      <c r="AI127" s="123"/>
      <c r="AJ127" s="124"/>
      <c r="AK127" s="122"/>
      <c r="AL127" s="123"/>
      <c r="AM127" s="123"/>
      <c r="AN127" s="124"/>
      <c r="AO127" s="122"/>
      <c r="AP127" s="123"/>
      <c r="AQ127" s="123"/>
      <c r="AR127" s="124"/>
      <c r="AS127" s="122"/>
      <c r="AT127" s="123"/>
      <c r="AU127" s="123"/>
      <c r="AV127" s="124"/>
      <c r="AW127" s="122"/>
      <c r="AX127" s="123"/>
      <c r="AY127" s="123"/>
      <c r="AZ127" s="124"/>
      <c r="BA127" s="122"/>
      <c r="BB127" s="123"/>
      <c r="BC127" s="123"/>
      <c r="BD127" s="124"/>
      <c r="BE127" s="122"/>
      <c r="BF127" s="123"/>
      <c r="BG127" s="123"/>
      <c r="BH127" s="124"/>
      <c r="BI127" s="122"/>
      <c r="BJ127" s="123"/>
      <c r="BK127" s="123"/>
      <c r="BL127" s="124"/>
      <c r="BM127" s="211"/>
      <c r="BN127" s="212"/>
      <c r="BO127" s="212"/>
      <c r="BP127" s="213"/>
      <c r="BQ127" s="211" t="e">
        <f>0.046*BQ124</f>
        <v>#REF!</v>
      </c>
      <c r="BR127" s="212"/>
      <c r="BS127" s="212"/>
      <c r="BT127" s="213"/>
      <c r="BU127" s="211" t="e">
        <f>0.046*BU124</f>
        <v>#REF!</v>
      </c>
      <c r="BV127" s="212"/>
      <c r="BW127" s="212"/>
      <c r="BX127" s="213"/>
      <c r="BY127" s="211" t="e">
        <f>0.046*BY124</f>
        <v>#REF!</v>
      </c>
      <c r="BZ127" s="212"/>
      <c r="CA127" s="212"/>
      <c r="CB127" s="213"/>
      <c r="CC127" s="211" t="e">
        <f>0.046*CC124</f>
        <v>#REF!</v>
      </c>
      <c r="CD127" s="212"/>
      <c r="CE127" s="212"/>
      <c r="CF127" s="213"/>
      <c r="CG127" s="141"/>
      <c r="CH127" s="254"/>
      <c r="CI127" s="254"/>
      <c r="CJ127" s="254"/>
      <c r="CK127" s="254"/>
      <c r="CL127" s="254"/>
      <c r="CM127" s="254"/>
    </row>
    <row r="128" spans="1:94" ht="24.95" hidden="1" customHeight="1" thickBot="1" x14ac:dyDescent="0.3">
      <c r="A128" s="68"/>
      <c r="B128" s="247"/>
      <c r="C128" s="248"/>
      <c r="D128" s="241" t="s">
        <v>20</v>
      </c>
      <c r="E128" s="242"/>
      <c r="F128" s="242"/>
      <c r="G128" s="242"/>
      <c r="H128" s="242"/>
      <c r="I128" s="214" t="e">
        <f>#REF!</f>
        <v>#REF!</v>
      </c>
      <c r="J128" s="215"/>
      <c r="K128" s="215"/>
      <c r="L128" s="216"/>
      <c r="M128" s="214" t="e">
        <f>#REF!</f>
        <v>#REF!</v>
      </c>
      <c r="N128" s="215"/>
      <c r="O128" s="215"/>
      <c r="P128" s="216"/>
      <c r="Q128" s="214" t="e">
        <f>#REF!</f>
        <v>#REF!</v>
      </c>
      <c r="R128" s="215"/>
      <c r="S128" s="215"/>
      <c r="T128" s="216"/>
      <c r="U128" s="214" t="e">
        <f>#REF!</f>
        <v>#REF!</v>
      </c>
      <c r="V128" s="215"/>
      <c r="W128" s="215"/>
      <c r="X128" s="216"/>
      <c r="Y128" s="214" t="e">
        <f>#REF!</f>
        <v>#REF!</v>
      </c>
      <c r="Z128" s="215"/>
      <c r="AA128" s="215"/>
      <c r="AB128" s="216"/>
      <c r="AC128" s="214" t="e">
        <f>#REF!</f>
        <v>#REF!</v>
      </c>
      <c r="AD128" s="215"/>
      <c r="AE128" s="215"/>
      <c r="AF128" s="216"/>
      <c r="AG128" s="214" t="e">
        <f>#REF!</f>
        <v>#REF!</v>
      </c>
      <c r="AH128" s="215"/>
      <c r="AI128" s="215"/>
      <c r="AJ128" s="216"/>
      <c r="AK128" s="214" t="e">
        <f>#REF!</f>
        <v>#REF!</v>
      </c>
      <c r="AL128" s="215"/>
      <c r="AM128" s="215"/>
      <c r="AN128" s="216"/>
      <c r="AO128" s="214" t="e">
        <f>#REF!</f>
        <v>#REF!</v>
      </c>
      <c r="AP128" s="215"/>
      <c r="AQ128" s="215"/>
      <c r="AR128" s="216"/>
      <c r="AS128" s="214" t="e">
        <f>#REF!</f>
        <v>#REF!</v>
      </c>
      <c r="AT128" s="215"/>
      <c r="AU128" s="215"/>
      <c r="AV128" s="216"/>
      <c r="AW128" s="214" t="e">
        <f>#REF!</f>
        <v>#REF!</v>
      </c>
      <c r="AX128" s="215"/>
      <c r="AY128" s="215"/>
      <c r="AZ128" s="216"/>
      <c r="BA128" s="214" t="e">
        <f>#REF!</f>
        <v>#REF!</v>
      </c>
      <c r="BB128" s="215"/>
      <c r="BC128" s="215"/>
      <c r="BD128" s="216"/>
      <c r="BE128" s="214" t="e">
        <f>#REF!</f>
        <v>#REF!</v>
      </c>
      <c r="BF128" s="215"/>
      <c r="BG128" s="215"/>
      <c r="BH128" s="216"/>
      <c r="BI128" s="214" t="e">
        <f>#REF!</f>
        <v>#REF!</v>
      </c>
      <c r="BJ128" s="215"/>
      <c r="BK128" s="215"/>
      <c r="BL128" s="216"/>
      <c r="BM128" s="214" t="e">
        <f>SUM(BM124:BP127)</f>
        <v>#REF!</v>
      </c>
      <c r="BN128" s="215"/>
      <c r="BO128" s="215"/>
      <c r="BP128" s="216"/>
      <c r="BQ128" s="214" t="e">
        <f>SUM(BQ124:BT127)</f>
        <v>#REF!</v>
      </c>
      <c r="BR128" s="215"/>
      <c r="BS128" s="215"/>
      <c r="BT128" s="216"/>
      <c r="BU128" s="214" t="e">
        <f>SUM(BU124:BX127)</f>
        <v>#REF!</v>
      </c>
      <c r="BV128" s="215"/>
      <c r="BW128" s="215"/>
      <c r="BX128" s="216"/>
      <c r="BY128" s="214" t="e">
        <f>SUM(BY124:CB127)</f>
        <v>#REF!</v>
      </c>
      <c r="BZ128" s="215"/>
      <c r="CA128" s="215"/>
      <c r="CB128" s="216"/>
      <c r="CC128" s="214" t="e">
        <f>SUM(CC124:CF127)</f>
        <v>#REF!</v>
      </c>
      <c r="CD128" s="215"/>
      <c r="CE128" s="215"/>
      <c r="CF128" s="216"/>
      <c r="CG128" s="141"/>
      <c r="CH128" s="254"/>
      <c r="CI128" s="254"/>
      <c r="CJ128" s="254"/>
      <c r="CK128" s="254"/>
      <c r="CL128" s="254"/>
      <c r="CM128" s="254"/>
    </row>
    <row r="129" spans="1:91" ht="24.95" customHeight="1" thickTop="1" x14ac:dyDescent="0.25">
      <c r="A129" s="68"/>
      <c r="B129" s="247"/>
      <c r="C129" s="248"/>
      <c r="D129" s="204" t="s">
        <v>46</v>
      </c>
      <c r="E129" s="205"/>
      <c r="F129" s="205"/>
      <c r="G129" s="205"/>
      <c r="H129" s="161">
        <v>4000000</v>
      </c>
      <c r="I129" s="208">
        <f>J121</f>
        <v>0</v>
      </c>
      <c r="J129" s="209"/>
      <c r="K129" s="209"/>
      <c r="L129" s="210"/>
      <c r="M129" s="208">
        <f>N121</f>
        <v>0</v>
      </c>
      <c r="N129" s="209"/>
      <c r="O129" s="209"/>
      <c r="P129" s="210"/>
      <c r="Q129" s="208">
        <f>R121</f>
        <v>0</v>
      </c>
      <c r="R129" s="209"/>
      <c r="S129" s="209"/>
      <c r="T129" s="210"/>
      <c r="U129" s="208">
        <f>V121</f>
        <v>0</v>
      </c>
      <c r="V129" s="209"/>
      <c r="W129" s="209"/>
      <c r="X129" s="210"/>
      <c r="Y129" s="208">
        <f>Z121</f>
        <v>0</v>
      </c>
      <c r="Z129" s="209"/>
      <c r="AA129" s="209"/>
      <c r="AB129" s="210"/>
      <c r="AC129" s="208">
        <f>AD121</f>
        <v>0</v>
      </c>
      <c r="AD129" s="209"/>
      <c r="AE129" s="209"/>
      <c r="AF129" s="210"/>
      <c r="AG129" s="208">
        <f>AH121</f>
        <v>0</v>
      </c>
      <c r="AH129" s="209"/>
      <c r="AI129" s="209"/>
      <c r="AJ129" s="210"/>
      <c r="AK129" s="208">
        <f>AL121</f>
        <v>0</v>
      </c>
      <c r="AL129" s="209"/>
      <c r="AM129" s="209"/>
      <c r="AN129" s="210"/>
      <c r="AO129" s="208">
        <f>AP121</f>
        <v>0</v>
      </c>
      <c r="AP129" s="209"/>
      <c r="AQ129" s="209"/>
      <c r="AR129" s="210"/>
      <c r="AS129" s="208">
        <f>AT121</f>
        <v>0</v>
      </c>
      <c r="AT129" s="209"/>
      <c r="AU129" s="209"/>
      <c r="AV129" s="210"/>
      <c r="AW129" s="208">
        <f>AX121</f>
        <v>0</v>
      </c>
      <c r="AX129" s="209"/>
      <c r="AY129" s="209"/>
      <c r="AZ129" s="210"/>
      <c r="BA129" s="208">
        <f>BB121</f>
        <v>0</v>
      </c>
      <c r="BB129" s="209"/>
      <c r="BC129" s="209"/>
      <c r="BD129" s="210"/>
      <c r="BE129" s="208">
        <f>BF121</f>
        <v>0</v>
      </c>
      <c r="BF129" s="209"/>
      <c r="BG129" s="209"/>
      <c r="BH129" s="210"/>
      <c r="BI129" s="208">
        <f>BJ121</f>
        <v>0</v>
      </c>
      <c r="BJ129" s="209"/>
      <c r="BK129" s="209"/>
      <c r="BL129" s="210"/>
      <c r="BM129" s="208">
        <f>BP121</f>
        <v>0</v>
      </c>
      <c r="BN129" s="209"/>
      <c r="BO129" s="209"/>
      <c r="BP129" s="210"/>
      <c r="BQ129" s="208">
        <f>BT121</f>
        <v>0</v>
      </c>
      <c r="BR129" s="209"/>
      <c r="BS129" s="209"/>
      <c r="BT129" s="210"/>
      <c r="BU129" s="208">
        <f>BX121</f>
        <v>0</v>
      </c>
      <c r="BV129" s="209"/>
      <c r="BW129" s="209"/>
      <c r="BX129" s="210"/>
      <c r="BY129" s="208">
        <f>CB121</f>
        <v>0</v>
      </c>
      <c r="BZ129" s="209"/>
      <c r="CA129" s="209"/>
      <c r="CB129" s="210"/>
      <c r="CC129" s="208">
        <f>CF121</f>
        <v>0</v>
      </c>
      <c r="CD129" s="209"/>
      <c r="CE129" s="209"/>
      <c r="CF129" s="210"/>
      <c r="CG129" s="141"/>
      <c r="CH129" s="254"/>
      <c r="CI129" s="254"/>
      <c r="CJ129" s="254"/>
      <c r="CK129" s="254"/>
      <c r="CL129" s="254"/>
      <c r="CM129" s="254"/>
    </row>
    <row r="130" spans="1:91" ht="24.95" customHeight="1" x14ac:dyDescent="0.25">
      <c r="A130" s="68"/>
      <c r="B130" s="247"/>
      <c r="C130" s="248"/>
      <c r="D130" s="206" t="s">
        <v>47</v>
      </c>
      <c r="E130" s="207"/>
      <c r="F130" s="207"/>
      <c r="G130" s="207"/>
      <c r="H130" s="162">
        <v>11000000</v>
      </c>
      <c r="I130" s="211">
        <f>K121</f>
        <v>0</v>
      </c>
      <c r="J130" s="212"/>
      <c r="K130" s="212"/>
      <c r="L130" s="213"/>
      <c r="M130" s="211">
        <f>O121</f>
        <v>0</v>
      </c>
      <c r="N130" s="212"/>
      <c r="O130" s="212"/>
      <c r="P130" s="213"/>
      <c r="Q130" s="211">
        <f>S121</f>
        <v>0</v>
      </c>
      <c r="R130" s="212"/>
      <c r="S130" s="212"/>
      <c r="T130" s="213"/>
      <c r="U130" s="211">
        <f>W121</f>
        <v>0</v>
      </c>
      <c r="V130" s="212"/>
      <c r="W130" s="212"/>
      <c r="X130" s="213"/>
      <c r="Y130" s="211">
        <f>AA121</f>
        <v>0</v>
      </c>
      <c r="Z130" s="212"/>
      <c r="AA130" s="212"/>
      <c r="AB130" s="213"/>
      <c r="AC130" s="211">
        <f>AE121</f>
        <v>0</v>
      </c>
      <c r="AD130" s="212"/>
      <c r="AE130" s="212"/>
      <c r="AF130" s="213"/>
      <c r="AG130" s="211">
        <f>AI121</f>
        <v>0</v>
      </c>
      <c r="AH130" s="212"/>
      <c r="AI130" s="212"/>
      <c r="AJ130" s="213"/>
      <c r="AK130" s="211">
        <f>AM121</f>
        <v>0</v>
      </c>
      <c r="AL130" s="212"/>
      <c r="AM130" s="212"/>
      <c r="AN130" s="213"/>
      <c r="AO130" s="211">
        <f>AQ121</f>
        <v>0</v>
      </c>
      <c r="AP130" s="212"/>
      <c r="AQ130" s="212"/>
      <c r="AR130" s="213"/>
      <c r="AS130" s="211">
        <f>AU121</f>
        <v>0</v>
      </c>
      <c r="AT130" s="212"/>
      <c r="AU130" s="212"/>
      <c r="AV130" s="213"/>
      <c r="AW130" s="211">
        <f>AY121</f>
        <v>0</v>
      </c>
      <c r="AX130" s="212"/>
      <c r="AY130" s="212"/>
      <c r="AZ130" s="213"/>
      <c r="BA130" s="211">
        <f>BC121</f>
        <v>0</v>
      </c>
      <c r="BB130" s="212"/>
      <c r="BC130" s="212"/>
      <c r="BD130" s="213"/>
      <c r="BE130" s="211">
        <f>BG121</f>
        <v>0</v>
      </c>
      <c r="BF130" s="212"/>
      <c r="BG130" s="212"/>
      <c r="BH130" s="213"/>
      <c r="BI130" s="211">
        <f>BK121</f>
        <v>0</v>
      </c>
      <c r="BJ130" s="212"/>
      <c r="BK130" s="212"/>
      <c r="BL130" s="213"/>
      <c r="BM130" s="211">
        <f>BO121</f>
        <v>0</v>
      </c>
      <c r="BN130" s="212"/>
      <c r="BO130" s="212"/>
      <c r="BP130" s="213"/>
      <c r="BQ130" s="211">
        <f>BS121</f>
        <v>0</v>
      </c>
      <c r="BR130" s="212"/>
      <c r="BS130" s="212"/>
      <c r="BT130" s="213"/>
      <c r="BU130" s="211">
        <f>BW121</f>
        <v>0</v>
      </c>
      <c r="BV130" s="212"/>
      <c r="BW130" s="212"/>
      <c r="BX130" s="213"/>
      <c r="BY130" s="211">
        <f>CA121</f>
        <v>0</v>
      </c>
      <c r="BZ130" s="212"/>
      <c r="CA130" s="212"/>
      <c r="CB130" s="213"/>
      <c r="CC130" s="211">
        <f>CE121</f>
        <v>0</v>
      </c>
      <c r="CD130" s="212"/>
      <c r="CE130" s="212"/>
      <c r="CF130" s="213"/>
      <c r="CG130" s="141"/>
      <c r="CH130" s="254"/>
      <c r="CI130" s="254"/>
      <c r="CJ130" s="254"/>
      <c r="CK130" s="254"/>
      <c r="CL130" s="254"/>
      <c r="CM130" s="254"/>
    </row>
    <row r="131" spans="1:91" ht="24.95" customHeight="1" x14ac:dyDescent="0.25">
      <c r="A131" s="68"/>
      <c r="B131" s="247"/>
      <c r="C131" s="248"/>
      <c r="D131" s="206" t="s">
        <v>95</v>
      </c>
      <c r="E131" s="207"/>
      <c r="F131" s="207"/>
      <c r="G131" s="207"/>
      <c r="H131" s="238"/>
      <c r="I131" s="122"/>
      <c r="J131" s="123"/>
      <c r="K131" s="123"/>
      <c r="L131" s="124"/>
      <c r="M131" s="122"/>
      <c r="N131" s="123"/>
      <c r="O131" s="123"/>
      <c r="P131" s="124"/>
      <c r="Q131" s="122"/>
      <c r="R131" s="123"/>
      <c r="S131" s="123"/>
      <c r="T131" s="124"/>
      <c r="U131" s="122"/>
      <c r="V131" s="123"/>
      <c r="W131" s="123"/>
      <c r="X131" s="124"/>
      <c r="Y131" s="211">
        <f>AB119</f>
        <v>0</v>
      </c>
      <c r="Z131" s="212"/>
      <c r="AA131" s="212"/>
      <c r="AB131" s="213"/>
      <c r="AC131" s="211">
        <f>AF119</f>
        <v>0</v>
      </c>
      <c r="AD131" s="212"/>
      <c r="AE131" s="212"/>
      <c r="AF131" s="213"/>
      <c r="AG131" s="211">
        <f>AJ119</f>
        <v>0</v>
      </c>
      <c r="AH131" s="212"/>
      <c r="AI131" s="212"/>
      <c r="AJ131" s="213">
        <f>AJ119</f>
        <v>0</v>
      </c>
      <c r="AK131" s="122"/>
      <c r="AL131" s="123"/>
      <c r="AM131" s="123"/>
      <c r="AN131" s="124"/>
      <c r="AO131" s="122"/>
      <c r="AP131" s="123"/>
      <c r="AQ131" s="123"/>
      <c r="AR131" s="124"/>
      <c r="AS131" s="122"/>
      <c r="AT131" s="123"/>
      <c r="AU131" s="123"/>
      <c r="AV131" s="124"/>
      <c r="AW131" s="122"/>
      <c r="AX131" s="123"/>
      <c r="AY131" s="123"/>
      <c r="AZ131" s="124"/>
      <c r="BA131" s="211">
        <f>BD119</f>
        <v>0</v>
      </c>
      <c r="BB131" s="212"/>
      <c r="BC131" s="212"/>
      <c r="BD131" s="213"/>
      <c r="BE131" s="211">
        <f>BE129*0.1247</f>
        <v>0</v>
      </c>
      <c r="BF131" s="212"/>
      <c r="BG131" s="212"/>
      <c r="BH131" s="213"/>
      <c r="BI131" s="211">
        <f>BL119</f>
        <v>0</v>
      </c>
      <c r="BJ131" s="212"/>
      <c r="BK131" s="212"/>
      <c r="BL131" s="213"/>
      <c r="BM131" s="211">
        <f>BM129*0.1247+BM129*0.046</f>
        <v>0</v>
      </c>
      <c r="BN131" s="212"/>
      <c r="BO131" s="212"/>
      <c r="BP131" s="213"/>
      <c r="BQ131" s="211">
        <f>BQ129*0.1247+BQ129*0.046</f>
        <v>0</v>
      </c>
      <c r="BR131" s="212"/>
      <c r="BS131" s="212"/>
      <c r="BT131" s="213"/>
      <c r="BU131" s="211">
        <f>BU129*0.1247+BU129*0.046</f>
        <v>0</v>
      </c>
      <c r="BV131" s="212"/>
      <c r="BW131" s="212"/>
      <c r="BX131" s="213"/>
      <c r="BY131" s="211">
        <f>BY129*0.1247+BY129*0.046</f>
        <v>0</v>
      </c>
      <c r="BZ131" s="212"/>
      <c r="CA131" s="212"/>
      <c r="CB131" s="213"/>
      <c r="CC131" s="211">
        <f>CC129*0.1247+CC129*0.046</f>
        <v>0</v>
      </c>
      <c r="CD131" s="212"/>
      <c r="CE131" s="212"/>
      <c r="CF131" s="213"/>
      <c r="CG131" s="141"/>
      <c r="CH131" s="254"/>
      <c r="CI131" s="254"/>
      <c r="CJ131" s="254"/>
      <c r="CK131" s="254"/>
      <c r="CL131" s="254"/>
      <c r="CM131" s="254"/>
    </row>
    <row r="132" spans="1:91" ht="24.95" customHeight="1" x14ac:dyDescent="0.25">
      <c r="A132" s="68"/>
      <c r="B132" s="247"/>
      <c r="C132" s="248"/>
      <c r="D132" s="206" t="s">
        <v>96</v>
      </c>
      <c r="E132" s="207"/>
      <c r="F132" s="207"/>
      <c r="G132" s="207"/>
      <c r="H132" s="238"/>
      <c r="I132" s="122"/>
      <c r="J132" s="123"/>
      <c r="K132" s="123"/>
      <c r="L132" s="124"/>
      <c r="M132" s="122"/>
      <c r="N132" s="123"/>
      <c r="O132" s="123"/>
      <c r="P132" s="124"/>
      <c r="Q132" s="122"/>
      <c r="R132" s="123"/>
      <c r="S132" s="123"/>
      <c r="T132" s="124"/>
      <c r="U132" s="122"/>
      <c r="V132" s="123"/>
      <c r="W132" s="123"/>
      <c r="X132" s="124"/>
      <c r="Y132" s="122"/>
      <c r="Z132" s="123"/>
      <c r="AA132" s="123"/>
      <c r="AB132" s="124"/>
      <c r="AC132" s="122"/>
      <c r="AD132" s="123"/>
      <c r="AE132" s="123"/>
      <c r="AF132" s="124"/>
      <c r="AG132" s="122"/>
      <c r="AH132" s="123"/>
      <c r="AI132" s="123"/>
      <c r="AJ132" s="124"/>
      <c r="AK132" s="122"/>
      <c r="AL132" s="123"/>
      <c r="AM132" s="123"/>
      <c r="AN132" s="124"/>
      <c r="AO132" s="122"/>
      <c r="AP132" s="123"/>
      <c r="AQ132" s="123"/>
      <c r="AR132" s="124"/>
      <c r="AS132" s="122"/>
      <c r="AT132" s="123"/>
      <c r="AU132" s="123"/>
      <c r="AV132" s="124"/>
      <c r="AW132" s="122"/>
      <c r="AX132" s="123"/>
      <c r="AY132" s="123"/>
      <c r="AZ132" s="124"/>
      <c r="BA132" s="122"/>
      <c r="BB132" s="123"/>
      <c r="BC132" s="123"/>
      <c r="BD132" s="124"/>
      <c r="BE132" s="122"/>
      <c r="BF132" s="123"/>
      <c r="BG132" s="123"/>
      <c r="BH132" s="124"/>
      <c r="BI132" s="122"/>
      <c r="BJ132" s="123"/>
      <c r="BK132" s="123"/>
      <c r="BL132" s="124"/>
      <c r="BM132" s="211"/>
      <c r="BN132" s="212"/>
      <c r="BO132" s="212"/>
      <c r="BP132" s="213"/>
      <c r="BQ132" s="211">
        <f>0.046*BQ129</f>
        <v>0</v>
      </c>
      <c r="BR132" s="212"/>
      <c r="BS132" s="212"/>
      <c r="BT132" s="213"/>
      <c r="BU132" s="211">
        <f>0.046*BU129</f>
        <v>0</v>
      </c>
      <c r="BV132" s="212"/>
      <c r="BW132" s="212"/>
      <c r="BX132" s="213"/>
      <c r="BY132" s="211">
        <f>0.046*BY129</f>
        <v>0</v>
      </c>
      <c r="BZ132" s="212"/>
      <c r="CA132" s="212"/>
      <c r="CB132" s="213"/>
      <c r="CC132" s="211">
        <f>0.046*CC129</f>
        <v>0</v>
      </c>
      <c r="CD132" s="212"/>
      <c r="CE132" s="212"/>
      <c r="CF132" s="213"/>
      <c r="CG132" s="141"/>
      <c r="CH132" s="254"/>
      <c r="CI132" s="254"/>
      <c r="CJ132" s="254"/>
      <c r="CK132" s="254"/>
      <c r="CL132" s="254"/>
      <c r="CM132" s="254"/>
    </row>
    <row r="133" spans="1:91" ht="24.95" customHeight="1" thickBot="1" x14ac:dyDescent="0.3">
      <c r="A133" s="68"/>
      <c r="B133" s="247"/>
      <c r="C133" s="248"/>
      <c r="D133" s="241" t="s">
        <v>20</v>
      </c>
      <c r="E133" s="242"/>
      <c r="F133" s="242"/>
      <c r="G133" s="242"/>
      <c r="H133" s="242"/>
      <c r="I133" s="214">
        <f>L121</f>
        <v>0</v>
      </c>
      <c r="J133" s="215"/>
      <c r="K133" s="215"/>
      <c r="L133" s="216"/>
      <c r="M133" s="214">
        <f>P121</f>
        <v>0</v>
      </c>
      <c r="N133" s="215"/>
      <c r="O133" s="215"/>
      <c r="P133" s="216"/>
      <c r="Q133" s="214">
        <f>T121</f>
        <v>0</v>
      </c>
      <c r="R133" s="215"/>
      <c r="S133" s="215"/>
      <c r="T133" s="216"/>
      <c r="U133" s="214">
        <f>X121</f>
        <v>0</v>
      </c>
      <c r="V133" s="215"/>
      <c r="W133" s="215"/>
      <c r="X133" s="216"/>
      <c r="Y133" s="214">
        <f>AB121</f>
        <v>0</v>
      </c>
      <c r="Z133" s="215"/>
      <c r="AA133" s="215"/>
      <c r="AB133" s="216"/>
      <c r="AC133" s="214">
        <f>AF121</f>
        <v>0</v>
      </c>
      <c r="AD133" s="215"/>
      <c r="AE133" s="215"/>
      <c r="AF133" s="216"/>
      <c r="AG133" s="214">
        <f>AJ121</f>
        <v>0</v>
      </c>
      <c r="AH133" s="215"/>
      <c r="AI133" s="215"/>
      <c r="AJ133" s="216"/>
      <c r="AK133" s="214">
        <f>AN121</f>
        <v>0</v>
      </c>
      <c r="AL133" s="215"/>
      <c r="AM133" s="215"/>
      <c r="AN133" s="216"/>
      <c r="AO133" s="214">
        <f>AR121</f>
        <v>0</v>
      </c>
      <c r="AP133" s="215"/>
      <c r="AQ133" s="215"/>
      <c r="AR133" s="216"/>
      <c r="AS133" s="214">
        <f>AV121</f>
        <v>0</v>
      </c>
      <c r="AT133" s="215"/>
      <c r="AU133" s="215"/>
      <c r="AV133" s="216"/>
      <c r="AW133" s="214">
        <f>AZ121</f>
        <v>0</v>
      </c>
      <c r="AX133" s="215"/>
      <c r="AY133" s="215"/>
      <c r="AZ133" s="216"/>
      <c r="BA133" s="214">
        <f>BD121</f>
        <v>0</v>
      </c>
      <c r="BB133" s="215"/>
      <c r="BC133" s="215"/>
      <c r="BD133" s="216"/>
      <c r="BE133" s="214">
        <f>BH121</f>
        <v>0</v>
      </c>
      <c r="BF133" s="215"/>
      <c r="BG133" s="215"/>
      <c r="BH133" s="216"/>
      <c r="BI133" s="214">
        <f>BL121</f>
        <v>0</v>
      </c>
      <c r="BJ133" s="215"/>
      <c r="BK133" s="215"/>
      <c r="BL133" s="216"/>
      <c r="BM133" s="214">
        <f>SUM(BM129:BP132)</f>
        <v>0</v>
      </c>
      <c r="BN133" s="215"/>
      <c r="BO133" s="215"/>
      <c r="BP133" s="216"/>
      <c r="BQ133" s="214">
        <f>SUM(BQ129:BT132)</f>
        <v>0</v>
      </c>
      <c r="BR133" s="215"/>
      <c r="BS133" s="215"/>
      <c r="BT133" s="216"/>
      <c r="BU133" s="214">
        <f>SUM(BU129:BX132)</f>
        <v>0</v>
      </c>
      <c r="BV133" s="215"/>
      <c r="BW133" s="215"/>
      <c r="BX133" s="216"/>
      <c r="BY133" s="214">
        <f>SUM(BY129:CB132)</f>
        <v>0</v>
      </c>
      <c r="BZ133" s="215"/>
      <c r="CA133" s="215"/>
      <c r="CB133" s="216"/>
      <c r="CC133" s="214">
        <f>SUM(CC129:CF132)</f>
        <v>0</v>
      </c>
      <c r="CD133" s="215"/>
      <c r="CE133" s="215"/>
      <c r="CF133" s="216"/>
      <c r="CG133" s="141"/>
      <c r="CH133" s="254"/>
      <c r="CI133" s="254"/>
      <c r="CJ133" s="254"/>
      <c r="CK133" s="254"/>
      <c r="CL133" s="254"/>
      <c r="CM133" s="254"/>
    </row>
    <row r="134" spans="1:91" ht="35.1" customHeight="1" thickTop="1" thickBot="1" x14ac:dyDescent="0.3">
      <c r="B134" s="249"/>
      <c r="C134" s="250"/>
      <c r="D134" s="239" t="s">
        <v>48</v>
      </c>
      <c r="E134" s="240"/>
      <c r="F134" s="240"/>
      <c r="G134" s="240"/>
      <c r="H134" s="240"/>
      <c r="I134" s="217">
        <f>I129+I130</f>
        <v>0</v>
      </c>
      <c r="J134" s="218"/>
      <c r="K134" s="218"/>
      <c r="L134" s="219"/>
      <c r="M134" s="217">
        <f>M129+M130</f>
        <v>0</v>
      </c>
      <c r="N134" s="218"/>
      <c r="O134" s="218"/>
      <c r="P134" s="219"/>
      <c r="Q134" s="217" t="e">
        <f>Q128+Q133</f>
        <v>#REF!</v>
      </c>
      <c r="R134" s="218"/>
      <c r="S134" s="218"/>
      <c r="T134" s="219"/>
      <c r="U134" s="217" t="e">
        <f>U128+U133</f>
        <v>#REF!</v>
      </c>
      <c r="V134" s="218"/>
      <c r="W134" s="218"/>
      <c r="X134" s="219"/>
      <c r="Y134" s="217" t="e">
        <f>Y128+Y133</f>
        <v>#REF!</v>
      </c>
      <c r="Z134" s="218"/>
      <c r="AA134" s="218"/>
      <c r="AB134" s="219"/>
      <c r="AC134" s="217" t="e">
        <f>AC128+AC133</f>
        <v>#REF!</v>
      </c>
      <c r="AD134" s="218"/>
      <c r="AE134" s="218"/>
      <c r="AF134" s="219"/>
      <c r="AG134" s="217" t="e">
        <f>AG128+AG133</f>
        <v>#REF!</v>
      </c>
      <c r="AH134" s="218"/>
      <c r="AI134" s="218"/>
      <c r="AJ134" s="219"/>
      <c r="AK134" s="217" t="e">
        <f>AK128+AK133</f>
        <v>#REF!</v>
      </c>
      <c r="AL134" s="218"/>
      <c r="AM134" s="218"/>
      <c r="AN134" s="219"/>
      <c r="AO134" s="217" t="e">
        <f>AO128+AO133</f>
        <v>#REF!</v>
      </c>
      <c r="AP134" s="218"/>
      <c r="AQ134" s="218"/>
      <c r="AR134" s="219"/>
      <c r="AS134" s="217" t="e">
        <f>AS128+AS133</f>
        <v>#REF!</v>
      </c>
      <c r="AT134" s="218"/>
      <c r="AU134" s="218"/>
      <c r="AV134" s="219"/>
      <c r="AW134" s="217" t="e">
        <f>AW128+AW133</f>
        <v>#REF!</v>
      </c>
      <c r="AX134" s="218"/>
      <c r="AY134" s="218"/>
      <c r="AZ134" s="219"/>
      <c r="BA134" s="217" t="e">
        <f>BA128+BA133+BA131+BA126</f>
        <v>#REF!</v>
      </c>
      <c r="BB134" s="218"/>
      <c r="BC134" s="218"/>
      <c r="BD134" s="219"/>
      <c r="BE134" s="217" t="e">
        <f>BE128+BE133+BE126+BE131</f>
        <v>#REF!</v>
      </c>
      <c r="BF134" s="218"/>
      <c r="BG134" s="218"/>
      <c r="BH134" s="219"/>
      <c r="BI134" s="217" t="e">
        <f>BI128+BI133+BI131+BI126</f>
        <v>#REF!</v>
      </c>
      <c r="BJ134" s="218"/>
      <c r="BK134" s="218"/>
      <c r="BL134" s="219"/>
      <c r="BM134" s="217" t="e">
        <f>BM128+BM133</f>
        <v>#REF!</v>
      </c>
      <c r="BN134" s="218"/>
      <c r="BO134" s="218"/>
      <c r="BP134" s="219"/>
      <c r="BQ134" s="217" t="e">
        <f>BQ128+BQ133</f>
        <v>#REF!</v>
      </c>
      <c r="BR134" s="218"/>
      <c r="BS134" s="218"/>
      <c r="BT134" s="219"/>
      <c r="BU134" s="217" t="e">
        <f>BU128+BU133</f>
        <v>#REF!</v>
      </c>
      <c r="BV134" s="218"/>
      <c r="BW134" s="218"/>
      <c r="BX134" s="219"/>
      <c r="BY134" s="217" t="e">
        <f>BY128+BY133</f>
        <v>#REF!</v>
      </c>
      <c r="BZ134" s="218"/>
      <c r="CA134" s="218"/>
      <c r="CB134" s="219"/>
      <c r="CC134" s="217" t="e">
        <f>CC128+CC133</f>
        <v>#REF!</v>
      </c>
      <c r="CD134" s="218"/>
      <c r="CE134" s="218"/>
      <c r="CF134" s="219"/>
      <c r="CG134" s="142"/>
      <c r="CH134" s="254"/>
      <c r="CI134" s="254"/>
      <c r="CJ134" s="254"/>
      <c r="CK134" s="254"/>
      <c r="CL134" s="254"/>
      <c r="CM134" s="254"/>
    </row>
    <row r="135" spans="1:91" x14ac:dyDescent="0.25"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</row>
    <row r="137" spans="1:91" x14ac:dyDescent="0.25">
      <c r="BO137" s="5" t="s">
        <v>70</v>
      </c>
      <c r="BP137" s="5">
        <v>179000</v>
      </c>
    </row>
    <row r="138" spans="1:91" x14ac:dyDescent="0.25">
      <c r="BO138" s="5" t="s">
        <v>71</v>
      </c>
      <c r="BP138" s="5">
        <v>181000</v>
      </c>
    </row>
    <row r="139" spans="1:91" x14ac:dyDescent="0.25">
      <c r="BO139" s="5" t="s">
        <v>72</v>
      </c>
      <c r="BP139" s="5">
        <v>163000</v>
      </c>
    </row>
    <row r="140" spans="1:91" x14ac:dyDescent="0.25">
      <c r="BO140" s="5" t="s">
        <v>73</v>
      </c>
      <c r="BP140" s="5">
        <v>102000</v>
      </c>
    </row>
    <row r="141" spans="1:91" x14ac:dyDescent="0.25">
      <c r="BO141" s="5" t="s">
        <v>74</v>
      </c>
      <c r="BP141" s="5">
        <v>91000</v>
      </c>
    </row>
  </sheetData>
  <sheetProtection selectLockedCells="1" selectUnlockedCells="1"/>
  <mergeCells count="283">
    <mergeCell ref="BA126:BD126"/>
    <mergeCell ref="BA131:BD131"/>
    <mergeCell ref="BE131:BH131"/>
    <mergeCell ref="BI131:BL131"/>
    <mergeCell ref="AG131:AJ131"/>
    <mergeCell ref="AG126:AJ126"/>
    <mergeCell ref="Y131:AB131"/>
    <mergeCell ref="AO130:AR130"/>
    <mergeCell ref="BA130:BD130"/>
    <mergeCell ref="AC130:AF130"/>
    <mergeCell ref="AG130:AJ130"/>
    <mergeCell ref="AK130:AN130"/>
    <mergeCell ref="AS128:AV128"/>
    <mergeCell ref="AS129:AV129"/>
    <mergeCell ref="AS130:AV130"/>
    <mergeCell ref="AW128:AZ128"/>
    <mergeCell ref="AW129:AZ129"/>
    <mergeCell ref="AW130:AZ130"/>
    <mergeCell ref="BE124:BH124"/>
    <mergeCell ref="BE125:BH125"/>
    <mergeCell ref="BE128:BH128"/>
    <mergeCell ref="BE126:BH126"/>
    <mergeCell ref="BE129:BH129"/>
    <mergeCell ref="BE130:BH130"/>
    <mergeCell ref="BE133:BH133"/>
    <mergeCell ref="BM134:BP134"/>
    <mergeCell ref="BM10:BP10"/>
    <mergeCell ref="BM122:BP122"/>
    <mergeCell ref="BM124:BP124"/>
    <mergeCell ref="BM125:BP125"/>
    <mergeCell ref="BM128:BP128"/>
    <mergeCell ref="BM129:BP129"/>
    <mergeCell ref="BM130:BP130"/>
    <mergeCell ref="BM133:BP133"/>
    <mergeCell ref="BM127:BP127"/>
    <mergeCell ref="BM132:BP132"/>
    <mergeCell ref="BM126:BP126"/>
    <mergeCell ref="BM131:BP131"/>
    <mergeCell ref="B5:C6"/>
    <mergeCell ref="F5:H5"/>
    <mergeCell ref="I5:L5"/>
    <mergeCell ref="M5:P5"/>
    <mergeCell ref="Q5:T5"/>
    <mergeCell ref="U5:X5"/>
    <mergeCell ref="D121:G121"/>
    <mergeCell ref="F122:G122"/>
    <mergeCell ref="I122:L122"/>
    <mergeCell ref="M122:P122"/>
    <mergeCell ref="Q122:T122"/>
    <mergeCell ref="U122:X122"/>
    <mergeCell ref="Q125:T125"/>
    <mergeCell ref="U125:X125"/>
    <mergeCell ref="Y125:AB125"/>
    <mergeCell ref="D128:H128"/>
    <mergeCell ref="I128:L128"/>
    <mergeCell ref="M128:P128"/>
    <mergeCell ref="Q128:T128"/>
    <mergeCell ref="U128:X128"/>
    <mergeCell ref="Y128:AB128"/>
    <mergeCell ref="D127:H127"/>
    <mergeCell ref="CH5:CM5"/>
    <mergeCell ref="F6:H6"/>
    <mergeCell ref="I6:L6"/>
    <mergeCell ref="M6:P6"/>
    <mergeCell ref="Q6:T6"/>
    <mergeCell ref="U6:X6"/>
    <mergeCell ref="Y6:AB6"/>
    <mergeCell ref="AC6:AF6"/>
    <mergeCell ref="Y5:AB5"/>
    <mergeCell ref="AC5:AF5"/>
    <mergeCell ref="AG5:AJ5"/>
    <mergeCell ref="AK5:AN5"/>
    <mergeCell ref="AO5:AR5"/>
    <mergeCell ref="BA5:BD5"/>
    <mergeCell ref="AS6:AV6"/>
    <mergeCell ref="AW6:AZ6"/>
    <mergeCell ref="BE5:BH5"/>
    <mergeCell ref="BE6:BH6"/>
    <mergeCell ref="BM5:BP5"/>
    <mergeCell ref="BM6:BP6"/>
    <mergeCell ref="BI5:BL5"/>
    <mergeCell ref="BI6:BL6"/>
    <mergeCell ref="BQ5:BT5"/>
    <mergeCell ref="BU5:BX5"/>
    <mergeCell ref="AO8:AR8"/>
    <mergeCell ref="BA8:BD8"/>
    <mergeCell ref="CH8:CM8"/>
    <mergeCell ref="CH6:CM6"/>
    <mergeCell ref="I8:L8"/>
    <mergeCell ref="M8:P8"/>
    <mergeCell ref="Q8:T8"/>
    <mergeCell ref="U8:X8"/>
    <mergeCell ref="Y8:AB8"/>
    <mergeCell ref="AC8:AF8"/>
    <mergeCell ref="AG8:AJ8"/>
    <mergeCell ref="AK8:AN8"/>
    <mergeCell ref="AG6:AJ6"/>
    <mergeCell ref="AK6:AN6"/>
    <mergeCell ref="AO6:AR6"/>
    <mergeCell ref="BA6:BD6"/>
    <mergeCell ref="AS8:AV8"/>
    <mergeCell ref="BE8:BH8"/>
    <mergeCell ref="BM8:BP8"/>
    <mergeCell ref="BI8:BL8"/>
    <mergeCell ref="BQ6:BT6"/>
    <mergeCell ref="BQ8:BT8"/>
    <mergeCell ref="BU6:BX6"/>
    <mergeCell ref="AW8:AZ8"/>
    <mergeCell ref="CH10:CM10"/>
    <mergeCell ref="D10:H10"/>
    <mergeCell ref="I10:L10"/>
    <mergeCell ref="M10:P10"/>
    <mergeCell ref="Q10:T10"/>
    <mergeCell ref="U10:X10"/>
    <mergeCell ref="Y10:AB10"/>
    <mergeCell ref="AC10:AF10"/>
    <mergeCell ref="AG10:AJ10"/>
    <mergeCell ref="AK10:AN10"/>
    <mergeCell ref="AO10:AR10"/>
    <mergeCell ref="BA10:BD10"/>
    <mergeCell ref="BI10:BL10"/>
    <mergeCell ref="BE10:BH10"/>
    <mergeCell ref="AS10:AV10"/>
    <mergeCell ref="AW10:AZ10"/>
    <mergeCell ref="CH122:CJ122"/>
    <mergeCell ref="B123:C134"/>
    <mergeCell ref="D123:H123"/>
    <mergeCell ref="Y122:AB122"/>
    <mergeCell ref="AC122:AF122"/>
    <mergeCell ref="AG122:AJ122"/>
    <mergeCell ref="AK122:AN122"/>
    <mergeCell ref="AO122:AR122"/>
    <mergeCell ref="BA122:BD122"/>
    <mergeCell ref="CH123:CM134"/>
    <mergeCell ref="D124:H124"/>
    <mergeCell ref="I124:L124"/>
    <mergeCell ref="M124:P124"/>
    <mergeCell ref="Q124:T124"/>
    <mergeCell ref="U124:X124"/>
    <mergeCell ref="Y124:AB124"/>
    <mergeCell ref="AC124:AF124"/>
    <mergeCell ref="AG124:AJ124"/>
    <mergeCell ref="AK124:AN124"/>
    <mergeCell ref="AO124:AR124"/>
    <mergeCell ref="BA124:BD124"/>
    <mergeCell ref="D125:H125"/>
    <mergeCell ref="I125:L125"/>
    <mergeCell ref="M125:P125"/>
    <mergeCell ref="D132:H132"/>
    <mergeCell ref="BA125:BD125"/>
    <mergeCell ref="AO128:AR128"/>
    <mergeCell ref="BA128:BD128"/>
    <mergeCell ref="AC126:AF126"/>
    <mergeCell ref="I129:L129"/>
    <mergeCell ref="M129:P129"/>
    <mergeCell ref="Q129:T129"/>
    <mergeCell ref="U129:X129"/>
    <mergeCell ref="Y129:AB129"/>
    <mergeCell ref="AC129:AF129"/>
    <mergeCell ref="AG129:AJ129"/>
    <mergeCell ref="AK129:AN129"/>
    <mergeCell ref="AO129:AR129"/>
    <mergeCell ref="BA129:BD129"/>
    <mergeCell ref="D126:H126"/>
    <mergeCell ref="Y126:AB126"/>
    <mergeCell ref="AC128:AF128"/>
    <mergeCell ref="AG128:AJ128"/>
    <mergeCell ref="AK128:AN128"/>
    <mergeCell ref="AC125:AF125"/>
    <mergeCell ref="AG125:AJ125"/>
    <mergeCell ref="AK125:AN125"/>
    <mergeCell ref="AO125:AR125"/>
    <mergeCell ref="M133:P133"/>
    <mergeCell ref="Q133:T133"/>
    <mergeCell ref="U133:X133"/>
    <mergeCell ref="Y133:AB133"/>
    <mergeCell ref="I130:L130"/>
    <mergeCell ref="M130:P130"/>
    <mergeCell ref="Q130:T130"/>
    <mergeCell ref="U130:X130"/>
    <mergeCell ref="Y130:AB130"/>
    <mergeCell ref="AC133:AF133"/>
    <mergeCell ref="AG133:AJ133"/>
    <mergeCell ref="AK133:AN133"/>
    <mergeCell ref="AO133:AR133"/>
    <mergeCell ref="BA133:BD133"/>
    <mergeCell ref="AC131:AF131"/>
    <mergeCell ref="D131:H131"/>
    <mergeCell ref="AO134:AR134"/>
    <mergeCell ref="BA134:BD134"/>
    <mergeCell ref="D134:H134"/>
    <mergeCell ref="I134:L134"/>
    <mergeCell ref="M134:P134"/>
    <mergeCell ref="Q134:T134"/>
    <mergeCell ref="U134:X134"/>
    <mergeCell ref="Y134:AB134"/>
    <mergeCell ref="AC134:AF134"/>
    <mergeCell ref="AG134:AJ134"/>
    <mergeCell ref="AK134:AN134"/>
    <mergeCell ref="AS133:AV133"/>
    <mergeCell ref="AS134:AV134"/>
    <mergeCell ref="AW133:AZ133"/>
    <mergeCell ref="AW134:AZ134"/>
    <mergeCell ref="D133:H133"/>
    <mergeCell ref="I133:L133"/>
    <mergeCell ref="AS125:AV125"/>
    <mergeCell ref="AW124:AZ124"/>
    <mergeCell ref="AW125:AZ125"/>
    <mergeCell ref="BQ133:BT133"/>
    <mergeCell ref="BQ134:BT134"/>
    <mergeCell ref="BQ10:BT10"/>
    <mergeCell ref="BQ122:BT122"/>
    <mergeCell ref="BQ124:BT124"/>
    <mergeCell ref="BQ125:BT125"/>
    <mergeCell ref="BQ126:BT126"/>
    <mergeCell ref="BQ127:BT127"/>
    <mergeCell ref="BQ128:BT128"/>
    <mergeCell ref="BQ129:BT129"/>
    <mergeCell ref="BI122:BL122"/>
    <mergeCell ref="BI124:BL124"/>
    <mergeCell ref="BI125:BL125"/>
    <mergeCell ref="BI128:BL128"/>
    <mergeCell ref="BI126:BL126"/>
    <mergeCell ref="BE134:BH134"/>
    <mergeCell ref="BI129:BL129"/>
    <mergeCell ref="BI130:BL130"/>
    <mergeCell ref="BI133:BL133"/>
    <mergeCell ref="BI134:BL134"/>
    <mergeCell ref="BE122:BH122"/>
    <mergeCell ref="CC128:CF128"/>
    <mergeCell ref="CC129:CF129"/>
    <mergeCell ref="CC130:CF130"/>
    <mergeCell ref="CC131:CF131"/>
    <mergeCell ref="CC132:CF132"/>
    <mergeCell ref="CC133:CF133"/>
    <mergeCell ref="CC134:CF134"/>
    <mergeCell ref="BU8:BX8"/>
    <mergeCell ref="BU10:BX10"/>
    <mergeCell ref="BU122:BX122"/>
    <mergeCell ref="BU124:BX124"/>
    <mergeCell ref="BY127:CB127"/>
    <mergeCell ref="BY128:CB128"/>
    <mergeCell ref="BU125:BX125"/>
    <mergeCell ref="BU126:BX126"/>
    <mergeCell ref="BU127:BX127"/>
    <mergeCell ref="BU128:BX128"/>
    <mergeCell ref="BU129:BX129"/>
    <mergeCell ref="BU130:BX130"/>
    <mergeCell ref="BU131:BX131"/>
    <mergeCell ref="BU132:BX132"/>
    <mergeCell ref="CC5:CF5"/>
    <mergeCell ref="CC6:CF6"/>
    <mergeCell ref="CC8:CF8"/>
    <mergeCell ref="CC10:CF10"/>
    <mergeCell ref="CC122:CF122"/>
    <mergeCell ref="CC124:CF124"/>
    <mergeCell ref="CC125:CF125"/>
    <mergeCell ref="CC126:CF126"/>
    <mergeCell ref="CC127:CF127"/>
    <mergeCell ref="D129:G129"/>
    <mergeCell ref="D130:G130"/>
    <mergeCell ref="BY129:CB129"/>
    <mergeCell ref="BY130:CB130"/>
    <mergeCell ref="BY131:CB131"/>
    <mergeCell ref="BY132:CB132"/>
    <mergeCell ref="BY133:CB133"/>
    <mergeCell ref="BY134:CB134"/>
    <mergeCell ref="BY5:CB5"/>
    <mergeCell ref="BY6:CB6"/>
    <mergeCell ref="BY8:CB8"/>
    <mergeCell ref="BY10:CB10"/>
    <mergeCell ref="BY122:CB122"/>
    <mergeCell ref="BY124:CB124"/>
    <mergeCell ref="BY125:CB125"/>
    <mergeCell ref="BY126:CB126"/>
    <mergeCell ref="BU133:BX133"/>
    <mergeCell ref="BU134:BX134"/>
    <mergeCell ref="BQ130:BT130"/>
    <mergeCell ref="BQ131:BT131"/>
    <mergeCell ref="BQ132:BT132"/>
    <mergeCell ref="AS5:AV5"/>
    <mergeCell ref="AW5:AZ5"/>
    <mergeCell ref="AS124:AV124"/>
  </mergeCells>
  <phoneticPr fontId="7" type="noConversion"/>
  <conditionalFormatting sqref="CL1:CM81">
    <cfRule type="cellIs" dxfId="4" priority="9" operator="lessThan">
      <formula>0</formula>
    </cfRule>
  </conditionalFormatting>
  <conditionalFormatting sqref="CL83:CM120">
    <cfRule type="cellIs" dxfId="3" priority="1" operator="lessThan">
      <formula>0</formula>
    </cfRule>
  </conditionalFormatting>
  <conditionalFormatting sqref="CL122:CM122">
    <cfRule type="cellIs" dxfId="2" priority="43" operator="lessThan">
      <formula>0</formula>
    </cfRule>
  </conditionalFormatting>
  <conditionalFormatting sqref="CL135:CM1048576">
    <cfRule type="cellIs" dxfId="1" priority="49" operator="lessThan">
      <formula>0</formula>
    </cfRule>
  </conditionalFormatting>
  <conditionalFormatting sqref="CM82">
    <cfRule type="cellIs" dxfId="0" priority="38" operator="lessThan">
      <formula>0</formula>
    </cfRule>
  </conditionalFormatting>
  <printOptions horizontalCentered="1" gridLines="1"/>
  <pageMargins left="0" right="0" top="0.51" bottom="0.23622047244094491" header="0.27559055118110237" footer="0"/>
  <pageSetup paperSize="9" scale="33" firstPageNumber="0" orientation="portrait" horizontalDpi="300" verticalDpi="300" r:id="rId1"/>
  <headerFooter alignWithMargins="0">
    <oddHeader>&amp;CTAB]</oddHeader>
    <oddFooter>&amp;C&amp;10Página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MED - Pe. Raposo</vt:lpstr>
      <vt:lpstr>'MED - Pe. Raposo'!Area_de_impressao</vt:lpstr>
      <vt:lpstr>'MED - Pe. Raposo'!Titulos_de_impressao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K1LZIN Zzzz</cp:lastModifiedBy>
  <cp:lastPrinted>2026-07-14T11:13:13Z</cp:lastPrinted>
  <dcterms:created xsi:type="dcterms:W3CDTF">2019-03-20T12:38:35Z</dcterms:created>
  <dcterms:modified xsi:type="dcterms:W3CDTF">2026-07-14T11:13:25Z</dcterms:modified>
</cp:coreProperties>
</file>